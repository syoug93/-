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비교요약" sheetId="1" state="visible" r:id="rId3"/>
    <sheet name="기본안" sheetId="2" state="visible" r:id="rId4"/>
    <sheet name="고급안" sheetId="3" state="visible" r:id="rId5"/>
    <sheet name="옵션_공간세팅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<sst xmlns="http://schemas.openxmlformats.org/spreadsheetml/2006/main" count="222" uniqueCount="104">
  <si>
    <r>
      <rPr>
        <b val="true"/>
        <sz val="16"/>
        <rFont val="WenQuanYi Zen Hei"/>
        <family val="2"/>
      </rPr>
      <t xml:space="preserve">마포 청년 정책 토론회 견적 비교 </t>
    </r>
    <r>
      <rPr>
        <b val="true"/>
        <sz val="16"/>
        <rFont val="Cambria"/>
        <family val="0"/>
        <charset val="1"/>
      </rPr>
      <t xml:space="preserve">(</t>
    </r>
    <r>
      <rPr>
        <b val="true"/>
        <sz val="16"/>
        <rFont val="WenQuanYi Zen Hei"/>
        <family val="2"/>
      </rPr>
      <t xml:space="preserve">초안</t>
    </r>
    <r>
      <rPr>
        <b val="true"/>
        <sz val="16"/>
        <rFont val="Cambria"/>
        <family val="0"/>
        <charset val="1"/>
      </rPr>
      <t xml:space="preserve">)</t>
    </r>
  </si>
  <si>
    <t xml:space="preserve">구분</t>
  </si>
  <si>
    <t xml:space="preserve">기본안</t>
  </si>
  <si>
    <t xml:space="preserve">고급안</t>
  </si>
  <si>
    <r>
      <rPr>
        <b val="true"/>
        <sz val="11"/>
        <color rgb="FFFFFFFF"/>
        <rFont val="WenQuanYi Zen Hei"/>
        <family val="2"/>
      </rPr>
      <t xml:space="preserve">기본안 </t>
    </r>
    <r>
      <rPr>
        <b val="true"/>
        <sz val="11"/>
        <color rgb="FFFFFFFF"/>
        <rFont val="Cambria"/>
        <family val="0"/>
        <charset val="1"/>
      </rPr>
      <t xml:space="preserve">+ </t>
    </r>
    <r>
      <rPr>
        <b val="true"/>
        <sz val="11"/>
        <color rgb="FFFFFFFF"/>
        <rFont val="WenQuanYi Zen Hei"/>
        <family val="2"/>
      </rPr>
      <t xml:space="preserve">세팅</t>
    </r>
  </si>
  <si>
    <r>
      <rPr>
        <b val="true"/>
        <sz val="11"/>
        <color rgb="FFFFFFFF"/>
        <rFont val="WenQuanYi Zen Hei"/>
        <family val="2"/>
      </rPr>
      <t xml:space="preserve">고급안 </t>
    </r>
    <r>
      <rPr>
        <b val="true"/>
        <sz val="11"/>
        <color rgb="FFFFFFFF"/>
        <rFont val="Cambria"/>
        <family val="0"/>
        <charset val="1"/>
      </rPr>
      <t xml:space="preserve">+ </t>
    </r>
    <r>
      <rPr>
        <b val="true"/>
        <sz val="11"/>
        <color rgb="FFFFFFFF"/>
        <rFont val="WenQuanYi Zen Hei"/>
        <family val="2"/>
      </rPr>
      <t xml:space="preserve">세팅</t>
    </r>
  </si>
  <si>
    <t xml:space="preserve">진행 인력</t>
  </si>
  <si>
    <r>
      <rPr>
        <sz val="11"/>
        <color theme="1"/>
        <rFont val="WenQuanYi Zen Hei"/>
        <family val="2"/>
      </rPr>
      <t xml:space="preserve">리딩 퍼실 </t>
    </r>
    <r>
      <rPr>
        <sz val="11"/>
        <color theme="1"/>
        <rFont val="Calibri"/>
        <family val="2"/>
        <charset val="1"/>
      </rPr>
      <t xml:space="preserve">1 + </t>
    </r>
    <r>
      <rPr>
        <sz val="11"/>
        <color theme="1"/>
        <rFont val="WenQuanYi Zen Hei"/>
        <family val="2"/>
      </rPr>
      <t xml:space="preserve">스태프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</si>
  <si>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리딩 퍼실 </t>
    </r>
    <r>
      <rPr>
        <sz val="11"/>
        <color theme="1"/>
        <rFont val="Calibri"/>
        <family val="2"/>
        <charset val="1"/>
      </rPr>
      <t xml:space="preserve">1 + </t>
    </r>
    <r>
      <rPr>
        <sz val="11"/>
        <color theme="1"/>
        <rFont val="WenQuanYi Zen Hei"/>
        <family val="2"/>
      </rPr>
      <t xml:space="preserve">소그룹 퍼실 </t>
    </r>
    <r>
      <rPr>
        <sz val="11"/>
        <color theme="1"/>
        <rFont val="Calibri"/>
        <family val="2"/>
        <charset val="1"/>
      </rPr>
      <t xml:space="preserve">6 + </t>
    </r>
    <r>
      <rPr>
        <sz val="11"/>
        <color theme="1"/>
        <rFont val="WenQuanYi Zen Hei"/>
        <family val="2"/>
      </rPr>
      <t xml:space="preserve">스태프 </t>
    </r>
    <r>
      <rPr>
        <sz val="11"/>
        <color theme="1"/>
        <rFont val="Calibri"/>
        <family val="2"/>
        <charset val="1"/>
      </rPr>
      <t xml:space="preserve">2</t>
    </r>
  </si>
  <si>
    <t xml:space="preserve">테이블 진행</t>
  </si>
  <si>
    <t xml:space="preserve">토킹카드 기반 자율 진행</t>
  </si>
  <si>
    <t xml:space="preserve">테이블별 전담 퍼실리테이터</t>
  </si>
  <si>
    <t xml:space="preserve">결과보고서</t>
  </si>
  <si>
    <r>
      <rPr>
        <sz val="11"/>
        <color theme="1"/>
        <rFont val="WenQuanYi Zen Hei"/>
        <family val="2"/>
      </rPr>
      <t xml:space="preserve">기본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전체 결과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만족도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</si>
  <si>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심화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테이블별 의견 구조화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정책 제안</t>
    </r>
    <r>
      <rPr>
        <sz val="11"/>
        <color theme="1"/>
        <rFont val="Calibri"/>
        <family val="2"/>
        <charset val="1"/>
      </rPr>
      <t xml:space="preserve">)</t>
    </r>
  </si>
  <si>
    <t xml:space="preserve">공급가액</t>
  </si>
  <si>
    <t xml:space="preserve">부가세</t>
  </si>
  <si>
    <r>
      <rPr>
        <b val="true"/>
        <sz val="11"/>
        <rFont val="WenQuanYi Zen Hei"/>
        <family val="2"/>
      </rPr>
      <t xml:space="preserve">총액</t>
    </r>
    <r>
      <rPr>
        <b val="true"/>
        <sz val="11"/>
        <rFont val="Cambria"/>
        <family val="0"/>
        <charset val="1"/>
      </rPr>
      <t xml:space="preserve">(VAT </t>
    </r>
    <r>
      <rPr>
        <b val="true"/>
        <sz val="11"/>
        <rFont val="WenQuanYi Zen Hei"/>
        <family val="2"/>
      </rPr>
      <t xml:space="preserve">포함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</si>
  <si>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예산</t>
    </r>
    <r>
      <rPr>
        <b val="true"/>
        <sz val="11"/>
        <rFont val="Cambria"/>
        <family val="0"/>
        <charset val="1"/>
      </rPr>
      <t xml:space="preserve">(500</t>
    </r>
    <r>
      <rPr>
        <b val="true"/>
        <sz val="11"/>
        <rFont val="WenQuanYi Zen Hei"/>
        <family val="2"/>
      </rPr>
      <t xml:space="preserve">만원</t>
    </r>
    <r>
      <rPr>
        <b val="true"/>
        <sz val="11"/>
        <rFont val="Cambria"/>
        <family val="0"/>
        <charset val="1"/>
      </rPr>
      <t xml:space="preserve">) </t>
    </r>
    <r>
      <rPr>
        <b val="true"/>
        <sz val="11"/>
        <rFont val="WenQuanYi Zen Hei"/>
        <family val="2"/>
      </rPr>
      <t xml:space="preserve">대비 잔액</t>
    </r>
  </si>
  <si>
    <r>
      <rPr>
        <b val="true"/>
        <sz val="11"/>
        <rFont val="Cambria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산출 전제</t>
    </r>
    <r>
      <rPr>
        <b val="true"/>
        <sz val="11"/>
        <rFont val="Cambria"/>
        <family val="0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</si>
  <si>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장소 대관료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빔프로젝터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마이크 등 기본 음향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영상 장비는 마포중앙도서관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구청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제공 전제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</si>
  <si>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공간 세팅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원탁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의자 배치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원상복구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은 구청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도서관 진행 전제 — 당사 진행 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옵션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공간세팅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WenQuanYi Zen Hei"/>
        <family val="2"/>
      </rPr>
      <t xml:space="preserve">추가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</si>
  <si>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참가자 사례비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참여수당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는 미포함 — 구청 지급 여부 확인 후 별도 반영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</si>
  <si>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저녁 시간대</t>
    </r>
    <r>
      <rPr>
        <sz val="11"/>
        <color theme="1"/>
        <rFont val="Calibri"/>
        <family val="2"/>
        <charset val="1"/>
      </rPr>
      <t xml:space="preserve">(19</t>
    </r>
    <r>
      <rPr>
        <sz val="11"/>
        <color theme="1"/>
        <rFont val="WenQuanYi Zen Hei"/>
        <family val="2"/>
      </rPr>
      <t xml:space="preserve">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행사로 다과 기준 산출 — 간편식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도시락 약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만원 선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전환 시 기본안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약 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고급안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약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공급가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</si>
  <si>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포스터 인쇄 수량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현수막 규격은 구청 게시 계획 확인 후 조정</t>
    </r>
  </si>
  <si>
    <r>
      <rPr>
        <b val="true"/>
        <sz val="11"/>
        <rFont val="Cambria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담당자 회신 시 확인 사항</t>
    </r>
    <r>
      <rPr>
        <b val="true"/>
        <sz val="11"/>
        <rFont val="Cambria"/>
        <family val="0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</si>
  <si>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공간 세팅 주체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구청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도서관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당사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WenQuanYi Zen Hei"/>
        <family val="2"/>
      </rPr>
      <t xml:space="preserve">원탁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의자 수량 및 반입 가능 시간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</si>
  <si>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예산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WenQuanYi Zen Hei"/>
        <family val="2"/>
      </rPr>
      <t xml:space="preserve">만원이 </t>
    </r>
    <r>
      <rPr>
        <sz val="11"/>
        <color theme="1"/>
        <rFont val="Calibri"/>
        <family val="2"/>
        <charset val="1"/>
      </rPr>
      <t xml:space="preserve">VAT </t>
    </r>
    <r>
      <rPr>
        <sz val="11"/>
        <color theme="1"/>
        <rFont val="WenQuanYi Zen Hei"/>
        <family val="2"/>
      </rPr>
      <t xml:space="preserve">포함 기준인지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</si>
  <si>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참가자 사례비 지급 여부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토론 주제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정책 의제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확정 여부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</si>
  <si>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홍보 채널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구청 홈페이지</t>
    </r>
    <r>
      <rPr>
        <sz val="11"/>
        <color theme="1"/>
        <rFont val="Calibri"/>
        <family val="2"/>
        <charset val="1"/>
      </rPr>
      <t xml:space="preserve">·SNS·</t>
    </r>
    <r>
      <rPr>
        <sz val="11"/>
        <color theme="1"/>
        <rFont val="WenQuanYi Zen Hei"/>
        <family val="2"/>
      </rPr>
      <t xml:space="preserve">게시대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및 모집 시작일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</si>
  <si>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결과보고서 형식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내부 보고용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정책 반영용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및 제출 기한</t>
    </r>
  </si>
  <si>
    <r>
      <rPr>
        <b val="true"/>
        <sz val="16"/>
        <rFont val="WenQuanYi Zen Hei"/>
        <family val="2"/>
      </rPr>
      <t xml:space="preserve">견 적 서 </t>
    </r>
    <r>
      <rPr>
        <b val="true"/>
        <sz val="16"/>
        <rFont val="Cambria"/>
        <family val="0"/>
        <charset val="1"/>
      </rPr>
      <t xml:space="preserve">(</t>
    </r>
    <r>
      <rPr>
        <b val="true"/>
        <sz val="16"/>
        <rFont val="WenQuanYi Zen Hei"/>
        <family val="2"/>
      </rPr>
      <t xml:space="preserve">기본안 </t>
    </r>
    <r>
      <rPr>
        <b val="true"/>
        <sz val="16"/>
        <rFont val="Cambria"/>
        <family val="0"/>
        <charset val="1"/>
      </rPr>
      <t xml:space="preserve">· </t>
    </r>
    <r>
      <rPr>
        <b val="true"/>
        <sz val="16"/>
        <rFont val="WenQuanYi Zen Hei"/>
        <family val="2"/>
      </rPr>
      <t xml:space="preserve">리딩 퍼실리테이터 단독 진행</t>
    </r>
    <r>
      <rPr>
        <b val="true"/>
        <sz val="16"/>
        <rFont val="Cambria"/>
        <family val="0"/>
        <charset val="1"/>
      </rPr>
      <t xml:space="preserve">)</t>
    </r>
  </si>
  <si>
    <t xml:space="preserve">발주처</t>
  </si>
  <si>
    <r>
      <rPr>
        <sz val="11"/>
        <color theme="1"/>
        <rFont val="WenQuanYi Zen Hei"/>
        <family val="2"/>
      </rPr>
      <t xml:space="preserve">마포구청 청년정책과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담당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김근영 주무관 </t>
    </r>
    <r>
      <rPr>
        <sz val="11"/>
        <color theme="1"/>
        <rFont val="Calibri"/>
        <family val="2"/>
        <charset val="1"/>
      </rPr>
      <t xml:space="preserve">02-3153-8382)</t>
    </r>
  </si>
  <si>
    <t xml:space="preserve">사업명</t>
  </si>
  <si>
    <r>
      <rPr>
        <sz val="11"/>
        <color theme="1"/>
        <rFont val="WenQuanYi Zen Hei"/>
        <family val="2"/>
      </rPr>
      <t xml:space="preserve">마포 청년 정책 토론회 운영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가칭</t>
    </r>
    <r>
      <rPr>
        <sz val="11"/>
        <color theme="1"/>
        <rFont val="Calibri"/>
        <family val="2"/>
        <charset val="1"/>
      </rPr>
      <t xml:space="preserve">)</t>
    </r>
  </si>
  <si>
    <t xml:space="preserve">일시</t>
  </si>
  <si>
    <r>
      <rPr>
        <sz val="11"/>
        <color theme="1"/>
        <rFont val="Calibri"/>
        <family val="2"/>
        <charset val="1"/>
      </rPr>
      <t xml:space="preserve">2026. 11. 27.(</t>
    </r>
    <r>
      <rPr>
        <sz val="11"/>
        <color theme="1"/>
        <rFont val="WenQuanYi Zen Hei"/>
        <family val="2"/>
      </rPr>
      <t xml:space="preserve">금</t>
    </r>
    <r>
      <rPr>
        <sz val="11"/>
        <color theme="1"/>
        <rFont val="Calibri"/>
        <family val="2"/>
        <charset val="1"/>
      </rPr>
      <t xml:space="preserve">) 19:00–21:00</t>
    </r>
  </si>
  <si>
    <t xml:space="preserve">장소</t>
  </si>
  <si>
    <r>
      <rPr>
        <sz val="11"/>
        <color theme="1"/>
        <rFont val="WenQuanYi Zen Hei"/>
        <family val="2"/>
      </rPr>
      <t xml:space="preserve">마포중앙도서관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층 세미나실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원탁 배치</t>
    </r>
    <r>
      <rPr>
        <sz val="11"/>
        <color theme="1"/>
        <rFont val="Calibri"/>
        <family val="2"/>
        <charset val="1"/>
      </rPr>
      <t xml:space="preserve">)</t>
    </r>
  </si>
  <si>
    <t xml:space="preserve">대상</t>
  </si>
  <si>
    <r>
      <rPr>
        <sz val="11"/>
        <color theme="1"/>
        <rFont val="WenQuanYi Zen Hei"/>
        <family val="2"/>
      </rPr>
      <t xml:space="preserve">마포구 거주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직장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사업장 청년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일반 </t>
    </r>
    <r>
      <rPr>
        <sz val="11"/>
        <color theme="1"/>
        <rFont val="Calibri"/>
        <family val="2"/>
        <charset val="1"/>
      </rPr>
      <t xml:space="preserve">40 + </t>
    </r>
    <r>
      <rPr>
        <sz val="11"/>
        <color theme="1"/>
        <rFont val="WenQuanYi Zen Hei"/>
        <family val="2"/>
      </rPr>
      <t xml:space="preserve">정책네트워크 </t>
    </r>
    <r>
      <rPr>
        <sz val="11"/>
        <color theme="1"/>
        <rFont val="Calibri"/>
        <family val="2"/>
        <charset val="1"/>
      </rPr>
      <t xml:space="preserve">10)</t>
    </r>
  </si>
  <si>
    <t xml:space="preserve">제출처</t>
  </si>
  <si>
    <t xml:space="preserve">코리아스픽스</t>
  </si>
  <si>
    <t xml:space="preserve">항목</t>
  </si>
  <si>
    <t xml:space="preserve">세부내용</t>
  </si>
  <si>
    <r>
      <rPr>
        <b val="true"/>
        <sz val="11"/>
        <color rgb="FFFFFFFF"/>
        <rFont val="WenQuanYi Zen Hei"/>
        <family val="2"/>
      </rPr>
      <t xml:space="preserve">단가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원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</si>
  <si>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수량</t>
  </si>
  <si>
    <t xml:space="preserve">단위</t>
  </si>
  <si>
    <r>
      <rPr>
        <b val="true"/>
        <sz val="11"/>
        <color rgb="FFFFFFFF"/>
        <rFont val="WenQuanYi Zen Hei"/>
        <family val="2"/>
      </rPr>
      <t xml:space="preserve">금액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원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</si>
  <si>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WenQuanYi Zen Hei"/>
        <family val="2"/>
      </rPr>
      <t xml:space="preserve">인건비</t>
    </r>
  </si>
  <si>
    <r>
      <rPr>
        <sz val="11"/>
        <color theme="1"/>
        <rFont val="WenQuanYi Zen Hei"/>
        <family val="2"/>
      </rPr>
      <t xml:space="preserve">기획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운영 총괄</t>
    </r>
    <r>
      <rPr>
        <sz val="11"/>
        <color theme="1"/>
        <rFont val="Calibri"/>
        <family val="2"/>
        <charset val="1"/>
      </rPr>
      <t xml:space="preserve">(PM)</t>
    </r>
  </si>
  <si>
    <r>
      <rPr>
        <sz val="11"/>
        <color theme="1"/>
        <rFont val="WenQuanYi Zen Hei"/>
        <family val="2"/>
      </rPr>
      <t xml:space="preserve">사업 기획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구청 협의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일정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인력 총괄</t>
    </r>
  </si>
  <si>
    <t xml:space="preserve">식</t>
  </si>
  <si>
    <t xml:space="preserve">리딩 퍼실리테이터</t>
  </si>
  <si>
    <r>
      <rPr>
        <sz val="11"/>
        <color theme="1"/>
        <rFont val="WenQuanYi Zen Hei"/>
        <family val="2"/>
      </rPr>
      <t xml:space="preserve">전체 진행</t>
    </r>
    <r>
      <rPr>
        <sz val="11"/>
        <color theme="1"/>
        <rFont val="Calibri"/>
        <family val="2"/>
        <charset val="1"/>
      </rPr>
      <t xml:space="preserve">(19:00–21:00), </t>
    </r>
    <r>
      <rPr>
        <sz val="11"/>
        <color theme="1"/>
        <rFont val="WenQuanYi Zen Hei"/>
        <family val="2"/>
      </rPr>
      <t xml:space="preserve">오프닝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전체 공유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마무리</t>
    </r>
  </si>
  <si>
    <t xml:space="preserve">인</t>
  </si>
  <si>
    <t xml:space="preserve">프로그램 설계</t>
  </si>
  <si>
    <r>
      <rPr>
        <sz val="11"/>
        <color theme="1"/>
        <rFont val="WenQuanYi Zen Hei"/>
        <family val="2"/>
      </rPr>
      <t xml:space="preserve">토론 구조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질문 설계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테이블 자율진행 가이드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토킹카드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제작</t>
    </r>
  </si>
  <si>
    <t xml:space="preserve">현장 운영 스태프</t>
  </si>
  <si>
    <r>
      <rPr>
        <sz val="11"/>
        <color theme="1"/>
        <rFont val="WenQuanYi Zen Hei"/>
        <family val="2"/>
      </rPr>
      <t xml:space="preserve">접수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명찰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자료 배부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사진 기록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동선 안내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</si>
  <si>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WenQuanYi Zen Hei"/>
        <family val="2"/>
      </rPr>
      <t xml:space="preserve">참가자 모집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관리</t>
    </r>
  </si>
  <si>
    <r>
      <rPr>
        <sz val="11"/>
        <color theme="1"/>
        <rFont val="WenQuanYi Zen Hei"/>
        <family val="2"/>
      </rPr>
      <t xml:space="preserve">온라인 신청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접수 관리</t>
    </r>
  </si>
  <si>
    <r>
      <rPr>
        <sz val="11"/>
        <color theme="1"/>
        <rFont val="WenQuanYi Zen Hei"/>
        <family val="2"/>
      </rPr>
      <t xml:space="preserve">신청폼 구축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자격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거주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직장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사업장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확인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확정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대기자 관리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테이블 배정</t>
    </r>
  </si>
  <si>
    <t xml:space="preserve">안내 문자 발송</t>
  </si>
  <si>
    <r>
      <rPr>
        <sz val="11"/>
        <color theme="1"/>
        <rFont val="WenQuanYi Zen Hei"/>
        <family val="2"/>
      </rPr>
      <t xml:space="preserve">확정 안내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사전 리마인드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Calibri"/>
        <family val="2"/>
        <charset val="1"/>
      </rPr>
      <t xml:space="preserve">(D-3, D-day)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</si>
  <si>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WenQuanYi Zen Hei"/>
        <family val="2"/>
      </rPr>
      <t xml:space="preserve">홍보물 제작</t>
    </r>
  </si>
  <si>
    <t xml:space="preserve">포스터 디자인</t>
  </si>
  <si>
    <r>
      <rPr>
        <sz val="11"/>
        <color theme="1"/>
        <rFont val="WenQuanYi Zen Hei"/>
        <family val="2"/>
      </rPr>
      <t xml:space="preserve">포스터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종 </t>
    </r>
    <r>
      <rPr>
        <sz val="11"/>
        <color theme="1"/>
        <rFont val="Calibri"/>
        <family val="2"/>
        <charset val="1"/>
      </rPr>
      <t xml:space="preserve">+ SNS</t>
    </r>
    <r>
      <rPr>
        <sz val="11"/>
        <color theme="1"/>
        <rFont val="WenQuanYi Zen Hei"/>
        <family val="2"/>
      </rPr>
      <t xml:space="preserve">용 리사이즈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정사각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세로형</t>
    </r>
    <r>
      <rPr>
        <sz val="11"/>
        <color theme="1"/>
        <rFont val="Calibri"/>
        <family val="2"/>
        <charset val="1"/>
      </rPr>
      <t xml:space="preserve">)</t>
    </r>
  </si>
  <si>
    <t xml:space="preserve">포스터 인쇄</t>
  </si>
  <si>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WenQuanYi Zen Hei"/>
        <family val="2"/>
      </rPr>
      <t xml:space="preserve">컬러</t>
    </r>
  </si>
  <si>
    <t xml:space="preserve">매</t>
  </si>
  <si>
    <r>
      <rPr>
        <sz val="11"/>
        <color theme="1"/>
        <rFont val="WenQuanYi Zen Hei"/>
        <family val="2"/>
      </rPr>
      <t xml:space="preserve">현수막 디자인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제작</t>
    </r>
  </si>
  <si>
    <r>
      <rPr>
        <sz val="11"/>
        <color theme="1"/>
        <rFont val="WenQuanYi Zen Hei"/>
        <family val="2"/>
      </rPr>
      <t xml:space="preserve">행사장 현수막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약 </t>
    </r>
    <r>
      <rPr>
        <sz val="11"/>
        <color theme="1"/>
        <rFont val="Calibri"/>
        <family val="2"/>
        <charset val="1"/>
      </rPr>
      <t xml:space="preserve">5m×0.9m)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</si>
  <si>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WenQuanYi Zen Hei"/>
        <family val="2"/>
      </rPr>
      <t xml:space="preserve">현장 운영</t>
    </r>
  </si>
  <si>
    <t xml:space="preserve">운영물품</t>
  </si>
  <si>
    <r>
      <rPr>
        <sz val="11"/>
        <color theme="1"/>
        <rFont val="WenQuanYi Zen Hei"/>
        <family val="2"/>
      </rPr>
      <t xml:space="preserve">명찰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워크시트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포스트잇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전지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필기구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투표 스티커 등</t>
    </r>
  </si>
  <si>
    <t xml:space="preserve">다과</t>
  </si>
  <si>
    <r>
      <rPr>
        <sz val="11"/>
        <color theme="1"/>
        <rFont val="WenQuanYi Zen Hei"/>
        <family val="2"/>
      </rPr>
      <t xml:space="preserve">참가자 </t>
    </r>
    <r>
      <rPr>
        <sz val="11"/>
        <color theme="1"/>
        <rFont val="Calibri"/>
        <family val="2"/>
        <charset val="1"/>
      </rPr>
      <t xml:space="preserve">50 + </t>
    </r>
    <r>
      <rPr>
        <sz val="11"/>
        <color theme="1"/>
        <rFont val="WenQuanYi Zen Hei"/>
        <family val="2"/>
      </rPr>
      <t xml:space="preserve">운영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관계자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</si>
  <si>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WenQuanYi Zen Hei"/>
        <family val="2"/>
      </rPr>
      <t xml:space="preserve">결과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평가</t>
    </r>
  </si>
  <si>
    <t xml:space="preserve">만족도 조사</t>
  </si>
  <si>
    <r>
      <rPr>
        <sz val="11"/>
        <color theme="1"/>
        <rFont val="WenQuanYi Zen Hei"/>
        <family val="2"/>
      </rPr>
      <t xml:space="preserve">설문 설계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현장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온라인 수집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집계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분석</t>
    </r>
  </si>
  <si>
    <r>
      <rPr>
        <sz val="11"/>
        <color theme="1"/>
        <rFont val="WenQuanYi Zen Hei"/>
        <family val="2"/>
      </rPr>
      <t xml:space="preserve">토론 결과 정리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만족도 결과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사진 포함 보고서</t>
    </r>
  </si>
  <si>
    <t xml:space="preserve">공급가액 합계</t>
  </si>
  <si>
    <r>
      <rPr>
        <b val="true"/>
        <sz val="11"/>
        <rFont val="WenQuanYi Zen Hei"/>
        <family val="2"/>
      </rPr>
      <t xml:space="preserve">부가가치세</t>
    </r>
    <r>
      <rPr>
        <b val="true"/>
        <sz val="11"/>
        <rFont val="Cambria"/>
        <family val="0"/>
        <charset val="1"/>
      </rPr>
      <t xml:space="preserve">(10%)</t>
    </r>
  </si>
  <si>
    <r>
      <rPr>
        <sz val="11"/>
        <color theme="1"/>
        <rFont val="WenQuanYi Zen Hei"/>
        <family val="2"/>
      </rPr>
      <t xml:space="preserve">※ 진행 방식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리딩 퍼실리테이터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인이 전체를 진행하고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각 원탁은 토킹카드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워크시트로 참가자 자율 진행</t>
    </r>
  </si>
  <si>
    <r>
      <rPr>
        <sz val="11"/>
        <color theme="1"/>
        <rFont val="WenQuanYi Zen Hei"/>
        <family val="2"/>
      </rPr>
      <t xml:space="preserve">※ 원탁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테이블당 </t>
    </r>
    <r>
      <rPr>
        <sz val="11"/>
        <color theme="1"/>
        <rFont val="Calibri"/>
        <family val="2"/>
        <charset val="1"/>
      </rPr>
      <t xml:space="preserve">8~9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WenQuanYi Zen Hei"/>
        <family val="2"/>
      </rPr>
      <t xml:space="preserve">정책네트워크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명은 테이블별 </t>
    </r>
    <r>
      <rPr>
        <sz val="11"/>
        <color theme="1"/>
        <rFont val="Calibri"/>
        <family val="2"/>
        <charset val="1"/>
      </rPr>
      <t xml:space="preserve">1~2</t>
    </r>
    <r>
      <rPr>
        <sz val="11"/>
        <color theme="1"/>
        <rFont val="WenQuanYi Zen Hei"/>
        <family val="2"/>
      </rPr>
      <t xml:space="preserve">명씩 분산 배치</t>
    </r>
  </si>
  <si>
    <r>
      <rPr>
        <b val="true"/>
        <sz val="16"/>
        <rFont val="WenQuanYi Zen Hei"/>
        <family val="2"/>
      </rPr>
      <t xml:space="preserve">견 적 서 </t>
    </r>
    <r>
      <rPr>
        <b val="true"/>
        <sz val="16"/>
        <rFont val="Cambria"/>
        <family val="0"/>
        <charset val="1"/>
      </rPr>
      <t xml:space="preserve">(</t>
    </r>
    <r>
      <rPr>
        <b val="true"/>
        <sz val="16"/>
        <rFont val="WenQuanYi Zen Hei"/>
        <family val="2"/>
      </rPr>
      <t xml:space="preserve">고급안 </t>
    </r>
    <r>
      <rPr>
        <b val="true"/>
        <sz val="16"/>
        <rFont val="Cambria"/>
        <family val="0"/>
        <charset val="1"/>
      </rPr>
      <t xml:space="preserve">· </t>
    </r>
    <r>
      <rPr>
        <b val="true"/>
        <sz val="16"/>
        <rFont val="WenQuanYi Zen Hei"/>
        <family val="2"/>
      </rPr>
      <t xml:space="preserve">소그룹 퍼실리테이터 포함</t>
    </r>
    <r>
      <rPr>
        <b val="true"/>
        <sz val="16"/>
        <rFont val="Cambria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</si>
  <si>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토론 구조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질문 설계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테이블 기록지 설계</t>
    </r>
  </si>
  <si>
    <r>
      <rPr>
        <sz val="11"/>
        <color theme="1"/>
        <rFont val="WenQuanYi Zen Hei"/>
        <family val="2"/>
      </rPr>
      <t xml:space="preserve">소그룹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테이블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퍼실리테이터</t>
    </r>
  </si>
  <si>
    <r>
      <rPr>
        <sz val="11"/>
        <color theme="1"/>
        <rFont val="WenQuanYi Zen Hei"/>
        <family val="2"/>
      </rPr>
      <t xml:space="preserve">원탁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개 </t>
    </r>
    <r>
      <rPr>
        <sz val="11"/>
        <color theme="1"/>
        <rFont val="Calibri"/>
        <family val="2"/>
        <charset val="1"/>
      </rPr>
      <t xml:space="preserve">× 1</t>
    </r>
    <r>
      <rPr>
        <sz val="11"/>
        <color theme="1"/>
        <rFont val="WenQuanYi Zen Hei"/>
        <family val="2"/>
      </rPr>
      <t xml:space="preserve">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테이블 진행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발언 균형 관리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핵심 의견 기록</t>
    </r>
  </si>
  <si>
    <t xml:space="preserve">퍼실리테이터 사전 브리핑</t>
  </si>
  <si>
    <r>
      <rPr>
        <sz val="11"/>
        <color theme="1"/>
        <rFont val="WenQuanYi Zen Hei"/>
        <family val="2"/>
      </rPr>
      <t xml:space="preserve">진행 시나리오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질문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기록 방식 공유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온라인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</si>
  <si>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참가자 </t>
    </r>
    <r>
      <rPr>
        <sz val="11"/>
        <color theme="1"/>
        <rFont val="Calibri"/>
        <family val="2"/>
        <charset val="1"/>
      </rPr>
      <t xml:space="preserve">50 + </t>
    </r>
    <r>
      <rPr>
        <sz val="11"/>
        <color theme="1"/>
        <rFont val="WenQuanYi Zen Hei"/>
        <family val="2"/>
      </rPr>
      <t xml:space="preserve">퍼실리테이터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운영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관계자</t>
    </r>
  </si>
  <si>
    <r>
      <rPr>
        <sz val="11"/>
        <color theme="1"/>
        <rFont val="WenQuanYi Zen Hei"/>
        <family val="2"/>
      </rPr>
      <t xml:space="preserve">결과보고서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심화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</si>
  <si>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테이블별 토론 기록 분석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의견 구조화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정책 제안 정리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만족도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사진 포함</t>
    </r>
  </si>
  <si>
    <r>
      <rPr>
        <sz val="11"/>
        <color theme="1"/>
        <rFont val="WenQuanYi Zen Hei"/>
        <family val="2"/>
      </rPr>
      <t xml:space="preserve">※ 진행 방식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리딩 퍼실리테이터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WenQuanYi Zen Hei"/>
        <family val="2"/>
      </rPr>
      <t xml:space="preserve">원탁별 소그룹 퍼실리테이터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녹색 행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기본안 대비 추가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변경 항목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</si>
  <si>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※ 테이블별 발언 균형 관리 및 핵심 의견 기록 → 결과보고서에 테이블별 의견 구조화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정책 제안 반영</t>
    </r>
  </si>
  <si>
    <r>
      <rPr>
        <b val="true"/>
        <sz val="16"/>
        <rFont val="WenQuanYi Zen Hei"/>
        <family val="2"/>
      </rPr>
      <t xml:space="preserve">견 적 서 </t>
    </r>
    <r>
      <rPr>
        <b val="true"/>
        <sz val="16"/>
        <rFont val="Cambria"/>
        <family val="0"/>
        <charset val="1"/>
      </rPr>
      <t xml:space="preserve">(</t>
    </r>
    <r>
      <rPr>
        <b val="true"/>
        <sz val="16"/>
        <rFont val="WenQuanYi Zen Hei"/>
        <family val="2"/>
      </rPr>
      <t xml:space="preserve">선택 옵션 </t>
    </r>
    <r>
      <rPr>
        <b val="true"/>
        <sz val="16"/>
        <rFont val="Cambria"/>
        <family val="0"/>
        <charset val="1"/>
      </rPr>
      <t xml:space="preserve">· </t>
    </r>
    <r>
      <rPr>
        <b val="true"/>
        <sz val="16"/>
        <rFont val="WenQuanYi Zen Hei"/>
        <family val="2"/>
      </rPr>
      <t xml:space="preserve">공간 세팅</t>
    </r>
    <r>
      <rPr>
        <b val="true"/>
        <sz val="16"/>
        <rFont val="Cambria"/>
        <family val="0"/>
        <charset val="1"/>
      </rPr>
      <t xml:space="preserve">)</t>
    </r>
  </si>
  <si>
    <t xml:space="preserve">옵션</t>
  </si>
  <si>
    <r>
      <rPr>
        <sz val="11"/>
        <color theme="1"/>
        <rFont val="WenQuanYi Zen Hei"/>
        <family val="2"/>
      </rPr>
      <t xml:space="preserve">공간 세팅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원상복구</t>
    </r>
  </si>
  <si>
    <r>
      <rPr>
        <sz val="11"/>
        <color theme="1"/>
        <rFont val="WenQuanYi Zen Hei"/>
        <family val="2"/>
      </rPr>
      <t xml:space="preserve">원탁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의자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WenQuanYi Zen Hei"/>
        <family val="2"/>
      </rPr>
      <t xml:space="preserve">석 배치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접수대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자료 세팅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종료 후 원상복구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사전 </t>
    </r>
    <r>
      <rPr>
        <sz val="11"/>
        <color theme="1"/>
        <rFont val="Calibri"/>
        <family val="2"/>
        <charset val="1"/>
      </rPr>
      <t xml:space="preserve">17:00~ / </t>
    </r>
    <r>
      <rPr>
        <sz val="11"/>
        <color theme="1"/>
        <rFont val="WenQuanYi Zen Hei"/>
        <family val="2"/>
      </rPr>
      <t xml:space="preserve">사후 </t>
    </r>
    <r>
      <rPr>
        <sz val="11"/>
        <color theme="1"/>
        <rFont val="Calibri"/>
        <family val="2"/>
        <charset val="1"/>
      </rPr>
      <t xml:space="preserve">21:00~)</t>
    </r>
  </si>
  <si>
    <r>
      <rPr>
        <sz val="11"/>
        <color theme="1"/>
        <rFont val="WenQuanYi Zen Hei"/>
        <family val="2"/>
      </rPr>
      <t xml:space="preserve">※ 기본안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고급안 모두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공간 세팅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원탁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의자 배치 및 원상복구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은 구청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도서관 측 진행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을 전제로 산출</t>
    </r>
  </si>
  <si>
    <r>
      <rPr>
        <sz val="11"/>
        <color theme="1"/>
        <rFont val="WenQuanYi Zen Hei"/>
        <family val="2"/>
      </rPr>
      <t xml:space="preserve">※ 당사 세팅이 필요한 경우 본 옵션 추가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도서관 보유 원탁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의자 활용 기준이며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원탁 외부 임차 시 별도 협의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</si>
</sst>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Cambria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WenQuanYi Zen Hei"/>
      <family val="2"/>
    </font>
    <font>
      <sz val="11"/>
      <color theme="1"/>
      <name val="WenQuanYi Zen Hei"/>
      <family val="2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5" min="4" style="0" width="18"/>
  </cols>
  <sheetData>
    <row r="1" customFormat="false" ht="20.8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31.5" hidden="false" customHeight="true" outlineLevel="0" collapsed="false">
      <c r="A4" s="3" t="s">
        <v>6</v>
      </c>
      <c r="B4" s="4" t="s">
        <v>7</v>
      </c>
      <c r="C4" s="4" t="s">
        <v>8</v>
      </c>
      <c r="D4" s="4"/>
      <c r="E4" s="4"/>
    </row>
    <row r="5" customFormat="false" ht="31.5" hidden="false" customHeight="true" outlineLevel="0" collapsed="false">
      <c r="A5" s="3" t="s">
        <v>9</v>
      </c>
      <c r="B5" s="4" t="s">
        <v>10</v>
      </c>
      <c r="C5" s="4" t="s">
        <v>11</v>
      </c>
      <c r="D5" s="4"/>
      <c r="E5" s="4"/>
    </row>
    <row r="6" customFormat="false" ht="31.5" hidden="false" customHeight="true" outlineLevel="0" collapsed="false">
      <c r="A6" s="3" t="s">
        <v>12</v>
      </c>
      <c r="B6" s="4" t="s">
        <v>13</v>
      </c>
      <c r="C6" s="4" t="s">
        <v>14</v>
      </c>
      <c r="D6" s="4"/>
      <c r="E6" s="4"/>
    </row>
    <row r="7" customFormat="false" ht="15" hidden="false" customHeight="false" outlineLevel="0" collapsed="false">
      <c r="A7" s="3" t="s">
        <v>15</v>
      </c>
      <c r="B7" s="5" t="n">
        <f aca="false">기본안!G24</f>
        <v>3000000</v>
      </c>
      <c r="C7" s="5" t="n">
        <f aca="false">고급안!G26</f>
        <v>4210000</v>
      </c>
      <c r="D7" s="5" t="n">
        <f aca="false">B7+옵션_공간세팅!G12</f>
        <v>3300000</v>
      </c>
      <c r="E7" s="5" t="n">
        <f aca="false">C7+옵션_공간세팅!G12</f>
        <v>4510000</v>
      </c>
    </row>
    <row r="8" customFormat="false" ht="15" hidden="false" customHeight="false" outlineLevel="0" collapsed="false">
      <c r="A8" s="3" t="s">
        <v>16</v>
      </c>
      <c r="B8" s="5" t="n">
        <f aca="false">ROUND(B7*0.1,0)</f>
        <v>300000</v>
      </c>
      <c r="C8" s="5" t="n">
        <f aca="false">ROUND(C7*0.1,0)</f>
        <v>421000</v>
      </c>
      <c r="D8" s="5" t="n">
        <f aca="false">ROUND(D7*0.1,0)</f>
        <v>330000</v>
      </c>
      <c r="E8" s="5" t="n">
        <f aca="false">ROUND(E7*0.1,0)</f>
        <v>451000</v>
      </c>
    </row>
    <row r="9" customFormat="false" ht="15" hidden="false" customHeight="false" outlineLevel="0" collapsed="false">
      <c r="A9" s="3" t="s">
        <v>17</v>
      </c>
      <c r="B9" s="6" t="n">
        <f aca="false">B7+B8</f>
        <v>3300000</v>
      </c>
      <c r="C9" s="6" t="n">
        <f aca="false">C7+C8</f>
        <v>4631000</v>
      </c>
      <c r="D9" s="6" t="n">
        <f aca="false">D7+D8</f>
        <v>3630000</v>
      </c>
      <c r="E9" s="6" t="n">
        <f aca="false">E7+E8</f>
        <v>4961000</v>
      </c>
    </row>
    <row r="10" customFormat="false" ht="15" hidden="false" customHeight="false" outlineLevel="0" collapsed="false">
      <c r="A10" s="3" t="s">
        <v>18</v>
      </c>
      <c r="B10" s="5" t="n">
        <f aca="false">5000000-B9</f>
        <v>1700000</v>
      </c>
      <c r="C10" s="5" t="n">
        <f aca="false">5000000-C9</f>
        <v>369000</v>
      </c>
      <c r="D10" s="5" t="n">
        <f aca="false">5000000-D9</f>
        <v>1370000</v>
      </c>
      <c r="E10" s="5" t="n">
        <f aca="false">5000000-E9</f>
        <v>39000</v>
      </c>
    </row>
    <row r="12" customFormat="false" ht="14.9" hidden="false" customHeight="false" outlineLevel="0" collapsed="false">
      <c r="A12" s="7" t="s">
        <v>19</v>
      </c>
      <c r="B12" s="7"/>
      <c r="C12" s="7"/>
      <c r="D12" s="7"/>
      <c r="E12" s="7"/>
    </row>
    <row r="13" customFormat="false" ht="14.9" hidden="false" customHeight="false" outlineLevel="0" collapsed="false">
      <c r="A13" s="8" t="s">
        <v>20</v>
      </c>
      <c r="B13" s="8"/>
      <c r="C13" s="8"/>
      <c r="D13" s="8"/>
      <c r="E13" s="8"/>
    </row>
    <row r="14" customFormat="false" ht="14.9" hidden="false" customHeight="false" outlineLevel="0" collapsed="false">
      <c r="A14" s="8" t="s">
        <v>21</v>
      </c>
      <c r="B14" s="8"/>
      <c r="C14" s="8"/>
      <c r="D14" s="8"/>
      <c r="E14" s="8"/>
    </row>
    <row r="15" customFormat="false" ht="14.9" hidden="false" customHeight="false" outlineLevel="0" collapsed="false">
      <c r="A15" s="8" t="s">
        <v>22</v>
      </c>
      <c r="B15" s="8"/>
      <c r="C15" s="8"/>
      <c r="D15" s="8"/>
      <c r="E15" s="8"/>
    </row>
    <row r="16" customFormat="false" ht="14.9" hidden="false" customHeight="false" outlineLevel="0" collapsed="false">
      <c r="A16" s="8" t="s">
        <v>23</v>
      </c>
      <c r="B16" s="8"/>
      <c r="C16" s="8"/>
      <c r="D16" s="8"/>
      <c r="E16" s="8"/>
    </row>
    <row r="17" customFormat="false" ht="14.9" hidden="false" customHeight="false" outlineLevel="0" collapsed="false">
      <c r="A17" s="8" t="s">
        <v>24</v>
      </c>
      <c r="B17" s="8"/>
      <c r="C17" s="8"/>
      <c r="D17" s="8"/>
      <c r="E17" s="8"/>
    </row>
    <row r="18" customFormat="false" ht="15" hidden="false" customHeight="false" outlineLevel="0" collapsed="false">
      <c r="A18" s="8"/>
      <c r="B18" s="8"/>
      <c r="C18" s="8"/>
      <c r="D18" s="8"/>
      <c r="E18" s="8"/>
    </row>
    <row r="19" customFormat="false" ht="14.9" hidden="false" customHeight="false" outlineLevel="0" collapsed="false">
      <c r="A19" s="7" t="s">
        <v>25</v>
      </c>
      <c r="B19" s="7"/>
      <c r="C19" s="7"/>
      <c r="D19" s="7"/>
      <c r="E19" s="7"/>
    </row>
    <row r="20" customFormat="false" ht="14.9" hidden="false" customHeight="false" outlineLevel="0" collapsed="false">
      <c r="A20" s="8" t="s">
        <v>26</v>
      </c>
      <c r="B20" s="8"/>
      <c r="C20" s="8"/>
      <c r="D20" s="8"/>
      <c r="E20" s="8"/>
    </row>
    <row r="21" customFormat="false" ht="14.9" hidden="false" customHeight="false" outlineLevel="0" collapsed="false">
      <c r="A21" s="8" t="s">
        <v>27</v>
      </c>
      <c r="B21" s="8"/>
      <c r="C21" s="8"/>
      <c r="D21" s="8"/>
      <c r="E21" s="8"/>
    </row>
    <row r="22" customFormat="false" ht="14.9" hidden="false" customHeight="false" outlineLevel="0" collapsed="false">
      <c r="A22" s="8" t="s">
        <v>28</v>
      </c>
      <c r="B22" s="8"/>
      <c r="C22" s="8"/>
      <c r="D22" s="8"/>
      <c r="E22" s="8"/>
    </row>
    <row r="23" customFormat="false" ht="14.9" hidden="false" customHeight="false" outlineLevel="0" collapsed="false">
      <c r="A23" s="8" t="s">
        <v>29</v>
      </c>
      <c r="B23" s="8"/>
      <c r="C23" s="8"/>
      <c r="D23" s="8"/>
      <c r="E23" s="8"/>
    </row>
    <row r="24" customFormat="false" ht="14.9" hidden="false" customHeight="false" outlineLevel="0" collapsed="false">
      <c r="A24" s="8" t="s">
        <v>30</v>
      </c>
      <c r="B24" s="8"/>
      <c r="C24" s="8"/>
      <c r="D24" s="8"/>
      <c r="E24" s="8"/>
    </row>
  </sheetData>
  <mergeCells count="14">
    <mergeCell ref="A1:E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6" min="5" style="0" width="7"/>
    <col collapsed="false" customWidth="true" hidden="false" outlineLevel="0" max="7" min="7" style="0" width="14"/>
  </cols>
  <sheetData>
    <row r="1" customFormat="false" ht="20.85" hidden="false" customHeight="false" outlineLevel="0" collapsed="false">
      <c r="A1" s="1" t="s">
        <v>31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9" t="s">
        <v>32</v>
      </c>
      <c r="B3" s="10" t="s">
        <v>33</v>
      </c>
      <c r="C3" s="10"/>
      <c r="D3" s="10"/>
      <c r="E3" s="10"/>
      <c r="F3" s="10"/>
      <c r="G3" s="10"/>
    </row>
    <row r="4" customFormat="false" ht="15" hidden="false" customHeight="false" outlineLevel="0" collapsed="false">
      <c r="A4" s="9" t="s">
        <v>34</v>
      </c>
      <c r="B4" s="10" t="s">
        <v>35</v>
      </c>
      <c r="C4" s="10"/>
      <c r="D4" s="10"/>
      <c r="E4" s="10"/>
      <c r="F4" s="10"/>
      <c r="G4" s="10"/>
    </row>
    <row r="5" customFormat="false" ht="15" hidden="false" customHeight="false" outlineLevel="0" collapsed="false">
      <c r="A5" s="9" t="s">
        <v>36</v>
      </c>
      <c r="B5" s="11" t="s">
        <v>37</v>
      </c>
      <c r="C5" s="11"/>
      <c r="D5" s="11"/>
      <c r="E5" s="11"/>
      <c r="F5" s="11"/>
      <c r="G5" s="11"/>
    </row>
    <row r="6" customFormat="false" ht="15" hidden="false" customHeight="false" outlineLevel="0" collapsed="false">
      <c r="A6" s="9" t="s">
        <v>38</v>
      </c>
      <c r="B6" s="10" t="s">
        <v>39</v>
      </c>
      <c r="C6" s="10"/>
      <c r="D6" s="10"/>
      <c r="E6" s="10"/>
      <c r="F6" s="10"/>
      <c r="G6" s="10"/>
    </row>
    <row r="7" customFormat="false" ht="15" hidden="false" customHeight="false" outlineLevel="0" collapsed="false">
      <c r="A7" s="9" t="s">
        <v>40</v>
      </c>
      <c r="B7" s="10" t="s">
        <v>41</v>
      </c>
      <c r="C7" s="10"/>
      <c r="D7" s="10"/>
      <c r="E7" s="10"/>
      <c r="F7" s="10"/>
      <c r="G7" s="10"/>
    </row>
    <row r="8" customFormat="false" ht="15" hidden="false" customHeight="false" outlineLevel="0" collapsed="false">
      <c r="A8" s="9" t="s">
        <v>42</v>
      </c>
      <c r="B8" s="10" t="s">
        <v>43</v>
      </c>
      <c r="C8" s="10"/>
      <c r="D8" s="10"/>
      <c r="E8" s="10"/>
      <c r="F8" s="10"/>
      <c r="G8" s="10"/>
    </row>
    <row r="10" customFormat="false" ht="15" hidden="false" customHeight="false" outlineLevel="0" collapsed="false">
      <c r="A10" s="12" t="s">
        <v>1</v>
      </c>
      <c r="B10" s="12" t="s">
        <v>44</v>
      </c>
      <c r="C10" s="12" t="s">
        <v>45</v>
      </c>
      <c r="D10" s="12" t="s">
        <v>46</v>
      </c>
      <c r="E10" s="12" t="s">
        <v>47</v>
      </c>
      <c r="F10" s="12" t="s">
        <v>48</v>
      </c>
      <c r="G10" s="12" t="s">
        <v>49</v>
      </c>
    </row>
    <row r="11" customFormat="false" ht="15" hidden="false" customHeight="false" outlineLevel="0" collapsed="false">
      <c r="A11" s="13" t="s">
        <v>50</v>
      </c>
      <c r="B11" s="14" t="s">
        <v>51</v>
      </c>
      <c r="C11" s="15" t="s">
        <v>52</v>
      </c>
      <c r="D11" s="16" t="n">
        <v>400000</v>
      </c>
      <c r="E11" s="13" t="n">
        <v>1</v>
      </c>
      <c r="F11" s="14" t="s">
        <v>53</v>
      </c>
      <c r="G11" s="16" t="n">
        <f aca="false">D11*E11</f>
        <v>400000</v>
      </c>
    </row>
    <row r="12" customFormat="false" ht="15" hidden="false" customHeight="false" outlineLevel="0" collapsed="false">
      <c r="A12" s="13" t="s">
        <v>50</v>
      </c>
      <c r="B12" s="14" t="s">
        <v>54</v>
      </c>
      <c r="C12" s="15" t="s">
        <v>55</v>
      </c>
      <c r="D12" s="16" t="n">
        <v>600000</v>
      </c>
      <c r="E12" s="13" t="n">
        <v>1</v>
      </c>
      <c r="F12" s="14" t="s">
        <v>56</v>
      </c>
      <c r="G12" s="16" t="n">
        <f aca="false">D12*E12</f>
        <v>600000</v>
      </c>
    </row>
    <row r="13" customFormat="false" ht="15" hidden="false" customHeight="false" outlineLevel="0" collapsed="false">
      <c r="A13" s="13" t="s">
        <v>50</v>
      </c>
      <c r="B13" s="14" t="s">
        <v>57</v>
      </c>
      <c r="C13" s="15" t="s">
        <v>58</v>
      </c>
      <c r="D13" s="16" t="n">
        <v>200000</v>
      </c>
      <c r="E13" s="13" t="n">
        <v>1</v>
      </c>
      <c r="F13" s="14" t="s">
        <v>53</v>
      </c>
      <c r="G13" s="16" t="n">
        <f aca="false">D13*E13</f>
        <v>200000</v>
      </c>
    </row>
    <row r="14" customFormat="false" ht="15" hidden="false" customHeight="false" outlineLevel="0" collapsed="false">
      <c r="A14" s="13" t="s">
        <v>50</v>
      </c>
      <c r="B14" s="14" t="s">
        <v>59</v>
      </c>
      <c r="C14" s="15" t="s">
        <v>60</v>
      </c>
      <c r="D14" s="16" t="n">
        <v>120000</v>
      </c>
      <c r="E14" s="13" t="n">
        <v>2</v>
      </c>
      <c r="F14" s="14" t="s">
        <v>56</v>
      </c>
      <c r="G14" s="16" t="n">
        <f aca="false">D14*E14</f>
        <v>240000</v>
      </c>
    </row>
    <row r="15" customFormat="false" ht="28.35" hidden="false" customHeight="false" outlineLevel="0" collapsed="false">
      <c r="A15" s="13" t="s">
        <v>61</v>
      </c>
      <c r="B15" s="14" t="s">
        <v>62</v>
      </c>
      <c r="C15" s="15" t="s">
        <v>63</v>
      </c>
      <c r="D15" s="16" t="n">
        <v>250000</v>
      </c>
      <c r="E15" s="13" t="n">
        <v>1</v>
      </c>
      <c r="F15" s="14" t="s">
        <v>53</v>
      </c>
      <c r="G15" s="16" t="n">
        <f aca="false">D15*E15</f>
        <v>250000</v>
      </c>
    </row>
    <row r="16" customFormat="false" ht="15" hidden="false" customHeight="false" outlineLevel="0" collapsed="false">
      <c r="A16" s="13" t="s">
        <v>61</v>
      </c>
      <c r="B16" s="14" t="s">
        <v>64</v>
      </c>
      <c r="C16" s="15" t="s">
        <v>65</v>
      </c>
      <c r="D16" s="16" t="n">
        <v>30000</v>
      </c>
      <c r="E16" s="13" t="n">
        <v>1</v>
      </c>
      <c r="F16" s="14" t="s">
        <v>53</v>
      </c>
      <c r="G16" s="16" t="n">
        <f aca="false">D16*E16</f>
        <v>30000</v>
      </c>
    </row>
    <row r="17" customFormat="false" ht="15" hidden="false" customHeight="false" outlineLevel="0" collapsed="false">
      <c r="A17" s="13" t="s">
        <v>66</v>
      </c>
      <c r="B17" s="14" t="s">
        <v>67</v>
      </c>
      <c r="C17" s="15" t="s">
        <v>68</v>
      </c>
      <c r="D17" s="16" t="n">
        <v>200000</v>
      </c>
      <c r="E17" s="13" t="n">
        <v>1</v>
      </c>
      <c r="F17" s="14" t="s">
        <v>53</v>
      </c>
      <c r="G17" s="16" t="n">
        <f aca="false">D17*E17</f>
        <v>200000</v>
      </c>
    </row>
    <row r="18" customFormat="false" ht="15" hidden="false" customHeight="false" outlineLevel="0" collapsed="false">
      <c r="A18" s="13" t="s">
        <v>66</v>
      </c>
      <c r="B18" s="14" t="s">
        <v>69</v>
      </c>
      <c r="C18" s="17" t="s">
        <v>70</v>
      </c>
      <c r="D18" s="16" t="n">
        <v>4000</v>
      </c>
      <c r="E18" s="13" t="n">
        <v>20</v>
      </c>
      <c r="F18" s="14" t="s">
        <v>71</v>
      </c>
      <c r="G18" s="16" t="n">
        <f aca="false">D18*E18</f>
        <v>80000</v>
      </c>
    </row>
    <row r="19" customFormat="false" ht="15" hidden="false" customHeight="false" outlineLevel="0" collapsed="false">
      <c r="A19" s="13" t="s">
        <v>66</v>
      </c>
      <c r="B19" s="14" t="s">
        <v>72</v>
      </c>
      <c r="C19" s="15" t="s">
        <v>73</v>
      </c>
      <c r="D19" s="16" t="n">
        <v>120000</v>
      </c>
      <c r="E19" s="13" t="n">
        <v>1</v>
      </c>
      <c r="F19" s="14" t="s">
        <v>71</v>
      </c>
      <c r="G19" s="16" t="n">
        <f aca="false">D19*E19</f>
        <v>120000</v>
      </c>
    </row>
    <row r="20" customFormat="false" ht="15" hidden="false" customHeight="false" outlineLevel="0" collapsed="false">
      <c r="A20" s="13" t="s">
        <v>74</v>
      </c>
      <c r="B20" s="14" t="s">
        <v>75</v>
      </c>
      <c r="C20" s="15" t="s">
        <v>76</v>
      </c>
      <c r="D20" s="16" t="n">
        <v>200000</v>
      </c>
      <c r="E20" s="13" t="n">
        <v>1</v>
      </c>
      <c r="F20" s="14" t="s">
        <v>53</v>
      </c>
      <c r="G20" s="16" t="n">
        <f aca="false">D20*E20</f>
        <v>200000</v>
      </c>
    </row>
    <row r="21" customFormat="false" ht="15" hidden="false" customHeight="false" outlineLevel="0" collapsed="false">
      <c r="A21" s="13" t="s">
        <v>74</v>
      </c>
      <c r="B21" s="14" t="s">
        <v>77</v>
      </c>
      <c r="C21" s="15" t="s">
        <v>78</v>
      </c>
      <c r="D21" s="16" t="n">
        <v>6000</v>
      </c>
      <c r="E21" s="13" t="n">
        <v>55</v>
      </c>
      <c r="F21" s="14" t="s">
        <v>56</v>
      </c>
      <c r="G21" s="16" t="n">
        <f aca="false">D21*E21</f>
        <v>330000</v>
      </c>
    </row>
    <row r="22" customFormat="false" ht="15" hidden="false" customHeight="false" outlineLevel="0" collapsed="false">
      <c r="A22" s="13" t="s">
        <v>79</v>
      </c>
      <c r="B22" s="14" t="s">
        <v>80</v>
      </c>
      <c r="C22" s="15" t="s">
        <v>81</v>
      </c>
      <c r="D22" s="16" t="n">
        <v>150000</v>
      </c>
      <c r="E22" s="13" t="n">
        <v>1</v>
      </c>
      <c r="F22" s="14" t="s">
        <v>53</v>
      </c>
      <c r="G22" s="16" t="n">
        <f aca="false">D22*E22</f>
        <v>150000</v>
      </c>
    </row>
    <row r="23" customFormat="false" ht="15" hidden="false" customHeight="false" outlineLevel="0" collapsed="false">
      <c r="A23" s="13" t="s">
        <v>79</v>
      </c>
      <c r="B23" s="14" t="s">
        <v>12</v>
      </c>
      <c r="C23" s="15" t="s">
        <v>82</v>
      </c>
      <c r="D23" s="16" t="n">
        <v>200000</v>
      </c>
      <c r="E23" s="13" t="n">
        <v>1</v>
      </c>
      <c r="F23" s="14" t="s">
        <v>53</v>
      </c>
      <c r="G23" s="16" t="n">
        <f aca="false">D23*E23</f>
        <v>200000</v>
      </c>
    </row>
    <row r="24" customFormat="false" ht="15" hidden="false" customHeight="false" outlineLevel="0" collapsed="false">
      <c r="A24" s="18" t="s">
        <v>83</v>
      </c>
      <c r="B24" s="18"/>
      <c r="C24" s="18"/>
      <c r="D24" s="18"/>
      <c r="E24" s="18"/>
      <c r="F24" s="18"/>
      <c r="G24" s="19" t="n">
        <f aca="false">SUM(G11:G23)</f>
        <v>3000000</v>
      </c>
    </row>
    <row r="25" customFormat="false" ht="15" hidden="false" customHeight="false" outlineLevel="0" collapsed="false">
      <c r="A25" s="18" t="s">
        <v>84</v>
      </c>
      <c r="B25" s="18"/>
      <c r="C25" s="18"/>
      <c r="D25" s="18"/>
      <c r="E25" s="18"/>
      <c r="F25" s="18"/>
      <c r="G25" s="19" t="n">
        <f aca="false">ROUND(G24*0.1,0)</f>
        <v>300000</v>
      </c>
    </row>
    <row r="26" customFormat="false" ht="15" hidden="false" customHeight="false" outlineLevel="0" collapsed="false">
      <c r="A26" s="18" t="s">
        <v>17</v>
      </c>
      <c r="B26" s="18"/>
      <c r="C26" s="18"/>
      <c r="D26" s="18"/>
      <c r="E26" s="18"/>
      <c r="F26" s="18"/>
      <c r="G26" s="19" t="n">
        <f aca="false">G24+G25</f>
        <v>3300000</v>
      </c>
    </row>
    <row r="28" customFormat="false" ht="14.9" hidden="false" customHeight="false" outlineLevel="0" collapsed="false">
      <c r="A28" s="20" t="s">
        <v>85</v>
      </c>
      <c r="B28" s="20"/>
      <c r="C28" s="20"/>
      <c r="D28" s="20"/>
      <c r="E28" s="20"/>
      <c r="F28" s="20"/>
      <c r="G28" s="20"/>
    </row>
    <row r="29" customFormat="false" ht="14.9" hidden="false" customHeight="false" outlineLevel="0" collapsed="false">
      <c r="A29" s="20" t="s">
        <v>86</v>
      </c>
      <c r="B29" s="20"/>
      <c r="C29" s="20"/>
      <c r="D29" s="20"/>
      <c r="E29" s="20"/>
      <c r="F29" s="20"/>
      <c r="G29" s="20"/>
    </row>
  </sheetData>
  <mergeCells count="12">
    <mergeCell ref="A1:G1"/>
    <mergeCell ref="B3:G3"/>
    <mergeCell ref="B4:G4"/>
    <mergeCell ref="B5:G5"/>
    <mergeCell ref="B6:G6"/>
    <mergeCell ref="B7:G7"/>
    <mergeCell ref="B8:G8"/>
    <mergeCell ref="A24:F24"/>
    <mergeCell ref="A25:F25"/>
    <mergeCell ref="A26:F26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6" min="5" style="0" width="7"/>
    <col collapsed="false" customWidth="true" hidden="false" outlineLevel="0" max="7" min="7" style="0" width="14"/>
  </cols>
  <sheetData>
    <row r="1" customFormat="false" ht="20.85" hidden="false" customHeight="false" outlineLevel="0" collapsed="false">
      <c r="A1" s="1" t="s">
        <v>87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9" t="s">
        <v>32</v>
      </c>
      <c r="B3" s="10" t="s">
        <v>33</v>
      </c>
      <c r="C3" s="10"/>
      <c r="D3" s="10"/>
      <c r="E3" s="10"/>
      <c r="F3" s="10"/>
      <c r="G3" s="10"/>
    </row>
    <row r="4" customFormat="false" ht="15" hidden="false" customHeight="false" outlineLevel="0" collapsed="false">
      <c r="A4" s="9" t="s">
        <v>34</v>
      </c>
      <c r="B4" s="10" t="s">
        <v>35</v>
      </c>
      <c r="C4" s="10"/>
      <c r="D4" s="10"/>
      <c r="E4" s="10"/>
      <c r="F4" s="10"/>
      <c r="G4" s="10"/>
    </row>
    <row r="5" customFormat="false" ht="15" hidden="false" customHeight="false" outlineLevel="0" collapsed="false">
      <c r="A5" s="9" t="s">
        <v>36</v>
      </c>
      <c r="B5" s="11" t="s">
        <v>37</v>
      </c>
      <c r="C5" s="11"/>
      <c r="D5" s="11"/>
      <c r="E5" s="11"/>
      <c r="F5" s="11"/>
      <c r="G5" s="11"/>
    </row>
    <row r="6" customFormat="false" ht="15" hidden="false" customHeight="false" outlineLevel="0" collapsed="false">
      <c r="A6" s="9" t="s">
        <v>38</v>
      </c>
      <c r="B6" s="10" t="s">
        <v>39</v>
      </c>
      <c r="C6" s="10"/>
      <c r="D6" s="10"/>
      <c r="E6" s="10"/>
      <c r="F6" s="10"/>
      <c r="G6" s="10"/>
    </row>
    <row r="7" customFormat="false" ht="15" hidden="false" customHeight="false" outlineLevel="0" collapsed="false">
      <c r="A7" s="9" t="s">
        <v>40</v>
      </c>
      <c r="B7" s="10" t="s">
        <v>41</v>
      </c>
      <c r="C7" s="10"/>
      <c r="D7" s="10"/>
      <c r="E7" s="10"/>
      <c r="F7" s="10"/>
      <c r="G7" s="10"/>
    </row>
    <row r="8" customFormat="false" ht="15" hidden="false" customHeight="false" outlineLevel="0" collapsed="false">
      <c r="A8" s="9" t="s">
        <v>42</v>
      </c>
      <c r="B8" s="10" t="s">
        <v>43</v>
      </c>
      <c r="C8" s="10"/>
      <c r="D8" s="10"/>
      <c r="E8" s="10"/>
      <c r="F8" s="10"/>
      <c r="G8" s="10"/>
    </row>
    <row r="10" customFormat="false" ht="15" hidden="false" customHeight="false" outlineLevel="0" collapsed="false">
      <c r="A10" s="12" t="s">
        <v>1</v>
      </c>
      <c r="B10" s="12" t="s">
        <v>44</v>
      </c>
      <c r="C10" s="12" t="s">
        <v>45</v>
      </c>
      <c r="D10" s="12" t="s">
        <v>46</v>
      </c>
      <c r="E10" s="12" t="s">
        <v>47</v>
      </c>
      <c r="F10" s="12" t="s">
        <v>48</v>
      </c>
      <c r="G10" s="12" t="s">
        <v>49</v>
      </c>
    </row>
    <row r="11" customFormat="false" ht="15" hidden="false" customHeight="false" outlineLevel="0" collapsed="false">
      <c r="A11" s="13" t="s">
        <v>50</v>
      </c>
      <c r="B11" s="14" t="s">
        <v>51</v>
      </c>
      <c r="C11" s="15" t="s">
        <v>52</v>
      </c>
      <c r="D11" s="16" t="n">
        <v>400000</v>
      </c>
      <c r="E11" s="13" t="n">
        <v>1</v>
      </c>
      <c r="F11" s="14" t="s">
        <v>53</v>
      </c>
      <c r="G11" s="16" t="n">
        <f aca="false">D11*E11</f>
        <v>400000</v>
      </c>
    </row>
    <row r="12" customFormat="false" ht="15" hidden="false" customHeight="false" outlineLevel="0" collapsed="false">
      <c r="A12" s="13" t="s">
        <v>50</v>
      </c>
      <c r="B12" s="14" t="s">
        <v>54</v>
      </c>
      <c r="C12" s="15" t="s">
        <v>55</v>
      </c>
      <c r="D12" s="16" t="n">
        <v>600000</v>
      </c>
      <c r="E12" s="13" t="n">
        <v>1</v>
      </c>
      <c r="F12" s="14" t="s">
        <v>56</v>
      </c>
      <c r="G12" s="16" t="n">
        <f aca="false">D12*E12</f>
        <v>600000</v>
      </c>
    </row>
    <row r="13" customFormat="false" ht="15" hidden="false" customHeight="false" outlineLevel="0" collapsed="false">
      <c r="A13" s="13" t="s">
        <v>50</v>
      </c>
      <c r="B13" s="14" t="s">
        <v>57</v>
      </c>
      <c r="C13" s="15" t="s">
        <v>88</v>
      </c>
      <c r="D13" s="16" t="n">
        <v>200000</v>
      </c>
      <c r="E13" s="13" t="n">
        <v>1</v>
      </c>
      <c r="F13" s="14" t="s">
        <v>53</v>
      </c>
      <c r="G13" s="16" t="n">
        <f aca="false">D13*E13</f>
        <v>200000</v>
      </c>
    </row>
    <row r="14" customFormat="false" ht="15" hidden="false" customHeight="false" outlineLevel="0" collapsed="false">
      <c r="A14" s="21" t="s">
        <v>50</v>
      </c>
      <c r="B14" s="22" t="s">
        <v>89</v>
      </c>
      <c r="C14" s="23" t="s">
        <v>90</v>
      </c>
      <c r="D14" s="24" t="n">
        <v>150000</v>
      </c>
      <c r="E14" s="21" t="n">
        <v>6</v>
      </c>
      <c r="F14" s="22" t="s">
        <v>56</v>
      </c>
      <c r="G14" s="24" t="n">
        <f aca="false">D14*E14</f>
        <v>900000</v>
      </c>
    </row>
    <row r="15" customFormat="false" ht="15" hidden="false" customHeight="false" outlineLevel="0" collapsed="false">
      <c r="A15" s="21" t="s">
        <v>50</v>
      </c>
      <c r="B15" s="22" t="s">
        <v>91</v>
      </c>
      <c r="C15" s="23" t="s">
        <v>92</v>
      </c>
      <c r="D15" s="24" t="n">
        <v>100000</v>
      </c>
      <c r="E15" s="21" t="n">
        <v>1</v>
      </c>
      <c r="F15" s="22" t="s">
        <v>53</v>
      </c>
      <c r="G15" s="24" t="n">
        <f aca="false">D15*E15</f>
        <v>100000</v>
      </c>
    </row>
    <row r="16" customFormat="false" ht="15" hidden="false" customHeight="false" outlineLevel="0" collapsed="false">
      <c r="A16" s="13" t="s">
        <v>50</v>
      </c>
      <c r="B16" s="14" t="s">
        <v>59</v>
      </c>
      <c r="C16" s="15" t="s">
        <v>60</v>
      </c>
      <c r="D16" s="16" t="n">
        <v>120000</v>
      </c>
      <c r="E16" s="13" t="n">
        <v>2</v>
      </c>
      <c r="F16" s="14" t="s">
        <v>56</v>
      </c>
      <c r="G16" s="16" t="n">
        <f aca="false">D16*E16</f>
        <v>240000</v>
      </c>
    </row>
    <row r="17" customFormat="false" ht="28.35" hidden="false" customHeight="false" outlineLevel="0" collapsed="false">
      <c r="A17" s="13" t="s">
        <v>61</v>
      </c>
      <c r="B17" s="14" t="s">
        <v>62</v>
      </c>
      <c r="C17" s="15" t="s">
        <v>63</v>
      </c>
      <c r="D17" s="16" t="n">
        <v>250000</v>
      </c>
      <c r="E17" s="13" t="n">
        <v>1</v>
      </c>
      <c r="F17" s="14" t="s">
        <v>53</v>
      </c>
      <c r="G17" s="16" t="n">
        <f aca="false">D17*E17</f>
        <v>250000</v>
      </c>
    </row>
    <row r="18" customFormat="false" ht="15" hidden="false" customHeight="false" outlineLevel="0" collapsed="false">
      <c r="A18" s="13" t="s">
        <v>61</v>
      </c>
      <c r="B18" s="14" t="s">
        <v>64</v>
      </c>
      <c r="C18" s="15" t="s">
        <v>65</v>
      </c>
      <c r="D18" s="16" t="n">
        <v>30000</v>
      </c>
      <c r="E18" s="13" t="n">
        <v>1</v>
      </c>
      <c r="F18" s="14" t="s">
        <v>53</v>
      </c>
      <c r="G18" s="16" t="n">
        <f aca="false">D18*E18</f>
        <v>30000</v>
      </c>
    </row>
    <row r="19" customFormat="false" ht="15" hidden="false" customHeight="false" outlineLevel="0" collapsed="false">
      <c r="A19" s="13" t="s">
        <v>66</v>
      </c>
      <c r="B19" s="14" t="s">
        <v>67</v>
      </c>
      <c r="C19" s="15" t="s">
        <v>68</v>
      </c>
      <c r="D19" s="16" t="n">
        <v>200000</v>
      </c>
      <c r="E19" s="13" t="n">
        <v>1</v>
      </c>
      <c r="F19" s="14" t="s">
        <v>53</v>
      </c>
      <c r="G19" s="16" t="n">
        <f aca="false">D19*E19</f>
        <v>200000</v>
      </c>
    </row>
    <row r="20" customFormat="false" ht="15" hidden="false" customHeight="false" outlineLevel="0" collapsed="false">
      <c r="A20" s="13" t="s">
        <v>66</v>
      </c>
      <c r="B20" s="14" t="s">
        <v>69</v>
      </c>
      <c r="C20" s="17" t="s">
        <v>70</v>
      </c>
      <c r="D20" s="16" t="n">
        <v>4000</v>
      </c>
      <c r="E20" s="13" t="n">
        <v>20</v>
      </c>
      <c r="F20" s="14" t="s">
        <v>71</v>
      </c>
      <c r="G20" s="16" t="n">
        <f aca="false">D20*E20</f>
        <v>80000</v>
      </c>
    </row>
    <row r="21" customFormat="false" ht="15" hidden="false" customHeight="false" outlineLevel="0" collapsed="false">
      <c r="A21" s="13" t="s">
        <v>66</v>
      </c>
      <c r="B21" s="14" t="s">
        <v>72</v>
      </c>
      <c r="C21" s="15" t="s">
        <v>73</v>
      </c>
      <c r="D21" s="16" t="n">
        <v>120000</v>
      </c>
      <c r="E21" s="13" t="n">
        <v>1</v>
      </c>
      <c r="F21" s="14" t="s">
        <v>71</v>
      </c>
      <c r="G21" s="16" t="n">
        <f aca="false">D21*E21</f>
        <v>120000</v>
      </c>
    </row>
    <row r="22" customFormat="false" ht="15" hidden="false" customHeight="false" outlineLevel="0" collapsed="false">
      <c r="A22" s="13" t="s">
        <v>74</v>
      </c>
      <c r="B22" s="14" t="s">
        <v>75</v>
      </c>
      <c r="C22" s="15" t="s">
        <v>76</v>
      </c>
      <c r="D22" s="16" t="n">
        <v>200000</v>
      </c>
      <c r="E22" s="13" t="n">
        <v>1</v>
      </c>
      <c r="F22" s="14" t="s">
        <v>53</v>
      </c>
      <c r="G22" s="16" t="n">
        <f aca="false">D22*E22</f>
        <v>200000</v>
      </c>
    </row>
    <row r="23" customFormat="false" ht="15" hidden="false" customHeight="false" outlineLevel="0" collapsed="false">
      <c r="A23" s="21" t="s">
        <v>74</v>
      </c>
      <c r="B23" s="22" t="s">
        <v>77</v>
      </c>
      <c r="C23" s="23" t="s">
        <v>93</v>
      </c>
      <c r="D23" s="24" t="n">
        <v>6000</v>
      </c>
      <c r="E23" s="21" t="n">
        <v>60</v>
      </c>
      <c r="F23" s="22" t="s">
        <v>56</v>
      </c>
      <c r="G23" s="24" t="n">
        <f aca="false">D23*E23</f>
        <v>360000</v>
      </c>
    </row>
    <row r="24" customFormat="false" ht="15" hidden="false" customHeight="false" outlineLevel="0" collapsed="false">
      <c r="A24" s="13" t="s">
        <v>79</v>
      </c>
      <c r="B24" s="14" t="s">
        <v>80</v>
      </c>
      <c r="C24" s="15" t="s">
        <v>81</v>
      </c>
      <c r="D24" s="16" t="n">
        <v>150000</v>
      </c>
      <c r="E24" s="13" t="n">
        <v>1</v>
      </c>
      <c r="F24" s="14" t="s">
        <v>53</v>
      </c>
      <c r="G24" s="16" t="n">
        <f aca="false">D24*E24</f>
        <v>150000</v>
      </c>
    </row>
    <row r="25" customFormat="false" ht="28.35" hidden="false" customHeight="false" outlineLevel="0" collapsed="false">
      <c r="A25" s="21" t="s">
        <v>79</v>
      </c>
      <c r="B25" s="22" t="s">
        <v>94</v>
      </c>
      <c r="C25" s="23" t="s">
        <v>95</v>
      </c>
      <c r="D25" s="24" t="n">
        <v>380000</v>
      </c>
      <c r="E25" s="21" t="n">
        <v>1</v>
      </c>
      <c r="F25" s="22" t="s">
        <v>53</v>
      </c>
      <c r="G25" s="24" t="n">
        <f aca="false">D25*E25</f>
        <v>380000</v>
      </c>
    </row>
    <row r="26" customFormat="false" ht="15" hidden="false" customHeight="false" outlineLevel="0" collapsed="false">
      <c r="A26" s="18" t="s">
        <v>83</v>
      </c>
      <c r="B26" s="18"/>
      <c r="C26" s="18"/>
      <c r="D26" s="18"/>
      <c r="E26" s="18"/>
      <c r="F26" s="18"/>
      <c r="G26" s="19" t="n">
        <f aca="false">SUM(G11:G25)</f>
        <v>4210000</v>
      </c>
    </row>
    <row r="27" customFormat="false" ht="15" hidden="false" customHeight="false" outlineLevel="0" collapsed="false">
      <c r="A27" s="18" t="s">
        <v>84</v>
      </c>
      <c r="B27" s="18"/>
      <c r="C27" s="18"/>
      <c r="D27" s="18"/>
      <c r="E27" s="18"/>
      <c r="F27" s="18"/>
      <c r="G27" s="19" t="n">
        <f aca="false">ROUND(G26*0.1,0)</f>
        <v>421000</v>
      </c>
    </row>
    <row r="28" customFormat="false" ht="15" hidden="false" customHeight="false" outlineLevel="0" collapsed="false">
      <c r="A28" s="18" t="s">
        <v>17</v>
      </c>
      <c r="B28" s="18"/>
      <c r="C28" s="18"/>
      <c r="D28" s="18"/>
      <c r="E28" s="18"/>
      <c r="F28" s="18"/>
      <c r="G28" s="19" t="n">
        <f aca="false">G26+G27</f>
        <v>4631000</v>
      </c>
    </row>
    <row r="30" customFormat="false" ht="14.9" hidden="false" customHeight="false" outlineLevel="0" collapsed="false">
      <c r="A30" s="20" t="s">
        <v>96</v>
      </c>
      <c r="B30" s="20"/>
      <c r="C30" s="20"/>
      <c r="D30" s="20"/>
      <c r="E30" s="20"/>
      <c r="F30" s="20"/>
      <c r="G30" s="20"/>
    </row>
    <row r="31" customFormat="false" ht="14.9" hidden="false" customHeight="false" outlineLevel="0" collapsed="false">
      <c r="A31" s="20" t="s">
        <v>97</v>
      </c>
      <c r="B31" s="20"/>
      <c r="C31" s="20"/>
      <c r="D31" s="20"/>
      <c r="E31" s="20"/>
      <c r="F31" s="20"/>
      <c r="G31" s="20"/>
    </row>
  </sheetData>
  <mergeCells count="12">
    <mergeCell ref="A1:G1"/>
    <mergeCell ref="B3:G3"/>
    <mergeCell ref="B4:G4"/>
    <mergeCell ref="B5:G5"/>
    <mergeCell ref="B6:G6"/>
    <mergeCell ref="B7:G7"/>
    <mergeCell ref="B8:G8"/>
    <mergeCell ref="A26:F26"/>
    <mergeCell ref="A27:F27"/>
    <mergeCell ref="A28:F28"/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6" min="5" style="0" width="7"/>
    <col collapsed="false" customWidth="true" hidden="false" outlineLevel="0" max="7" min="7" style="0" width="14"/>
  </cols>
  <sheetData>
    <row r="1" customFormat="false" ht="20.85" hidden="false" customHeight="false" outlineLevel="0" collapsed="false">
      <c r="A1" s="1" t="s">
        <v>98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9" t="s">
        <v>32</v>
      </c>
      <c r="B3" s="10" t="s">
        <v>33</v>
      </c>
      <c r="C3" s="10"/>
      <c r="D3" s="10"/>
      <c r="E3" s="10"/>
      <c r="F3" s="10"/>
      <c r="G3" s="10"/>
    </row>
    <row r="4" customFormat="false" ht="15" hidden="false" customHeight="false" outlineLevel="0" collapsed="false">
      <c r="A4" s="9" t="s">
        <v>34</v>
      </c>
      <c r="B4" s="10" t="s">
        <v>35</v>
      </c>
      <c r="C4" s="10"/>
      <c r="D4" s="10"/>
      <c r="E4" s="10"/>
      <c r="F4" s="10"/>
      <c r="G4" s="10"/>
    </row>
    <row r="5" customFormat="false" ht="15" hidden="false" customHeight="false" outlineLevel="0" collapsed="false">
      <c r="A5" s="9" t="s">
        <v>36</v>
      </c>
      <c r="B5" s="11" t="s">
        <v>37</v>
      </c>
      <c r="C5" s="11"/>
      <c r="D5" s="11"/>
      <c r="E5" s="11"/>
      <c r="F5" s="11"/>
      <c r="G5" s="11"/>
    </row>
    <row r="6" customFormat="false" ht="15" hidden="false" customHeight="false" outlineLevel="0" collapsed="false">
      <c r="A6" s="9" t="s">
        <v>38</v>
      </c>
      <c r="B6" s="10" t="s">
        <v>39</v>
      </c>
      <c r="C6" s="10"/>
      <c r="D6" s="10"/>
      <c r="E6" s="10"/>
      <c r="F6" s="10"/>
      <c r="G6" s="10"/>
    </row>
    <row r="7" customFormat="false" ht="15" hidden="false" customHeight="false" outlineLevel="0" collapsed="false">
      <c r="A7" s="9" t="s">
        <v>40</v>
      </c>
      <c r="B7" s="10" t="s">
        <v>41</v>
      </c>
      <c r="C7" s="10"/>
      <c r="D7" s="10"/>
      <c r="E7" s="10"/>
      <c r="F7" s="10"/>
      <c r="G7" s="10"/>
    </row>
    <row r="8" customFormat="false" ht="15" hidden="false" customHeight="false" outlineLevel="0" collapsed="false">
      <c r="A8" s="9" t="s">
        <v>42</v>
      </c>
      <c r="B8" s="10" t="s">
        <v>43</v>
      </c>
      <c r="C8" s="10"/>
      <c r="D8" s="10"/>
      <c r="E8" s="10"/>
      <c r="F8" s="10"/>
      <c r="G8" s="10"/>
    </row>
    <row r="10" customFormat="false" ht="15" hidden="false" customHeight="false" outlineLevel="0" collapsed="false">
      <c r="A10" s="12" t="s">
        <v>1</v>
      </c>
      <c r="B10" s="12" t="s">
        <v>44</v>
      </c>
      <c r="C10" s="12" t="s">
        <v>45</v>
      </c>
      <c r="D10" s="12" t="s">
        <v>46</v>
      </c>
      <c r="E10" s="12" t="s">
        <v>47</v>
      </c>
      <c r="F10" s="12" t="s">
        <v>48</v>
      </c>
      <c r="G10" s="12" t="s">
        <v>49</v>
      </c>
    </row>
    <row r="11" customFormat="false" ht="28.35" hidden="false" customHeight="false" outlineLevel="0" collapsed="false">
      <c r="A11" s="14" t="s">
        <v>99</v>
      </c>
      <c r="B11" s="14" t="s">
        <v>100</v>
      </c>
      <c r="C11" s="15" t="s">
        <v>101</v>
      </c>
      <c r="D11" s="16" t="n">
        <v>100000</v>
      </c>
      <c r="E11" s="13" t="n">
        <v>3</v>
      </c>
      <c r="F11" s="14" t="s">
        <v>56</v>
      </c>
      <c r="G11" s="16" t="n">
        <f aca="false">D11*E11</f>
        <v>300000</v>
      </c>
    </row>
    <row r="12" customFormat="false" ht="15" hidden="false" customHeight="false" outlineLevel="0" collapsed="false">
      <c r="A12" s="18" t="s">
        <v>83</v>
      </c>
      <c r="B12" s="18"/>
      <c r="C12" s="18"/>
      <c r="D12" s="18"/>
      <c r="E12" s="18"/>
      <c r="F12" s="18"/>
      <c r="G12" s="19" t="n">
        <f aca="false">SUM(G11:G11)</f>
        <v>300000</v>
      </c>
    </row>
    <row r="13" customFormat="false" ht="15" hidden="false" customHeight="false" outlineLevel="0" collapsed="false">
      <c r="A13" s="18" t="s">
        <v>84</v>
      </c>
      <c r="B13" s="18"/>
      <c r="C13" s="18"/>
      <c r="D13" s="18"/>
      <c r="E13" s="18"/>
      <c r="F13" s="18"/>
      <c r="G13" s="19" t="n">
        <f aca="false">ROUND(G12*0.1,0)</f>
        <v>30000</v>
      </c>
    </row>
    <row r="14" customFormat="false" ht="15" hidden="false" customHeight="false" outlineLevel="0" collapsed="false">
      <c r="A14" s="18" t="s">
        <v>17</v>
      </c>
      <c r="B14" s="18"/>
      <c r="C14" s="18"/>
      <c r="D14" s="18"/>
      <c r="E14" s="18"/>
      <c r="F14" s="18"/>
      <c r="G14" s="19" t="n">
        <f aca="false">G12+G13</f>
        <v>330000</v>
      </c>
    </row>
    <row r="16" customFormat="false" ht="14.9" hidden="false" customHeight="false" outlineLevel="0" collapsed="false">
      <c r="A16" s="20" t="s">
        <v>102</v>
      </c>
      <c r="B16" s="20"/>
      <c r="C16" s="20"/>
      <c r="D16" s="20"/>
      <c r="E16" s="20"/>
      <c r="F16" s="20"/>
      <c r="G16" s="20"/>
    </row>
    <row r="17" customFormat="false" ht="14.9" hidden="false" customHeight="false" outlineLevel="0" collapsed="false">
      <c r="A17" s="20" t="s">
        <v>103</v>
      </c>
      <c r="B17" s="20"/>
      <c r="C17" s="20"/>
      <c r="D17" s="20"/>
      <c r="E17" s="20"/>
      <c r="F17" s="20"/>
      <c r="G17" s="20"/>
    </row>
  </sheetData>
  <mergeCells count="12">
    <mergeCell ref="A1:G1"/>
    <mergeCell ref="B3:G3"/>
    <mergeCell ref="B4:G4"/>
    <mergeCell ref="B5:G5"/>
    <mergeCell ref="B6:G6"/>
    <mergeCell ref="B7:G7"/>
    <mergeCell ref="B8:G8"/>
    <mergeCell ref="A12:F12"/>
    <mergeCell ref="A13:F13"/>
    <mergeCell ref="A14:F14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2026-10-07T05:09:08Z</dcterms:created>
  <dc:creator>openpyxl</dc:creator>
  <dc:description/>
  <dc:language>en-US</dc:language>
  <cp:lastModifiedBy/>
  <dcterms:modified xsi:type="dcterms:W3CDTF">2026-10-07T05:09:08Z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