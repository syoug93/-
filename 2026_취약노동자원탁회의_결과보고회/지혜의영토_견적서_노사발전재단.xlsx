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금 &quot;#,##0&quot;원정&quot;"/>
  </numFmts>
  <fonts count="8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1" customWidth="1" min="3" max="3"/>
    <col width="7" customWidth="1" min="4" max="4"/>
    <col width="6" customWidth="1" min="5" max="5"/>
    <col width="7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1" t="inlineStr">
        <is>
          <t>견    적    서</t>
        </is>
      </c>
    </row>
    <row r="3">
      <c r="A3" s="2" t="inlineStr">
        <is>
          <t>수신</t>
        </is>
      </c>
      <c r="B3" s="3" t="inlineStr">
        <is>
          <t>노사발전재단 귀중</t>
        </is>
      </c>
      <c r="C3" s="3" t="n"/>
      <c r="D3" s="3" t="n"/>
      <c r="E3" s="2" t="inlineStr">
        <is>
          <t>상호</t>
        </is>
      </c>
      <c r="F3" s="4" t="n"/>
      <c r="G3" s="3" t="inlineStr">
        <is>
          <t>지혜의영토</t>
        </is>
      </c>
      <c r="H3" s="3" t="n"/>
      <c r="I3" s="3" t="n"/>
    </row>
    <row r="4">
      <c r="A4" s="2" t="inlineStr">
        <is>
          <t>건명</t>
        </is>
      </c>
      <c r="B4" s="3" t="inlineStr">
        <is>
          <t>2026년 취약노동자 원탁회의 결과보고회 행사대행 용역</t>
        </is>
      </c>
      <c r="C4" s="3" t="n"/>
      <c r="D4" s="3" t="n"/>
      <c r="E4" s="2" t="inlineStr">
        <is>
          <t>대표자</t>
        </is>
      </c>
      <c r="F4" s="4" t="n"/>
      <c r="G4" s="3" t="inlineStr">
        <is>
          <t xml:space="preserve">                (인)</t>
        </is>
      </c>
      <c r="H4" s="3" t="n"/>
      <c r="I4" s="3" t="n"/>
    </row>
    <row r="5">
      <c r="A5" s="2" t="inlineStr">
        <is>
          <t>행사</t>
        </is>
      </c>
      <c r="B5" s="3" t="inlineStr">
        <is>
          <t>(1차) 경상권 11.10.(부산) / (2차) 충청권 11.24.(대전), 각 50명 내외</t>
        </is>
      </c>
      <c r="C5" s="3" t="n"/>
      <c r="D5" s="3" t="n"/>
      <c r="E5" s="2" t="inlineStr">
        <is>
          <t>사업자등록번호</t>
        </is>
      </c>
      <c r="F5" s="4" t="n"/>
      <c r="G5" s="3" t="inlineStr"/>
      <c r="H5" s="3" t="n"/>
      <c r="I5" s="3" t="n"/>
    </row>
    <row r="6">
      <c r="A6" s="2" t="inlineStr">
        <is>
          <t>견적일</t>
        </is>
      </c>
      <c r="B6" s="3" t="inlineStr">
        <is>
          <t>2026. 10. 19.</t>
        </is>
      </c>
      <c r="C6" s="3" t="n"/>
      <c r="D6" s="3" t="n"/>
      <c r="E6" s="2" t="inlineStr">
        <is>
          <t>주소</t>
        </is>
      </c>
      <c r="F6" s="4" t="n"/>
      <c r="G6" s="3" t="inlineStr"/>
      <c r="H6" s="3" t="n"/>
      <c r="I6" s="3" t="n"/>
    </row>
    <row r="7">
      <c r="A7" s="2" t="inlineStr">
        <is>
          <t>유효기간</t>
        </is>
      </c>
      <c r="B7" s="3" t="inlineStr">
        <is>
          <t>견적일로부터 30일</t>
        </is>
      </c>
      <c r="C7" s="3" t="n"/>
      <c r="D7" s="3" t="n"/>
      <c r="E7" s="2" t="inlineStr">
        <is>
          <t>담당</t>
        </is>
      </c>
      <c r="F7" s="4" t="n"/>
      <c r="G7" s="3" t="inlineStr">
        <is>
          <t>이소연 차장 (sylee@kspeaks.kr)</t>
        </is>
      </c>
      <c r="H7" s="3" t="n"/>
      <c r="I7" s="3" t="n"/>
    </row>
    <row r="9">
      <c r="A9" s="5" t="inlineStr">
        <is>
          <t>합계금액 (부가가치세 포함)</t>
        </is>
      </c>
      <c r="B9" s="5" t="n"/>
      <c r="C9" s="5" t="n"/>
      <c r="D9" s="6">
        <f>G59</f>
        <v/>
      </c>
      <c r="E9" s="6" t="n"/>
      <c r="F9" s="6" t="n"/>
      <c r="G9" s="6" t="n"/>
      <c r="H9" s="6" t="n"/>
      <c r="I9" s="6" t="n"/>
    </row>
    <row r="11">
      <c r="A11" s="7" t="inlineStr">
        <is>
          <t>항목</t>
        </is>
      </c>
      <c r="B11" s="7" t="inlineStr">
        <is>
          <t>내용·규격</t>
        </is>
      </c>
      <c r="C11" s="7" t="inlineStr">
        <is>
          <t>단가</t>
        </is>
      </c>
      <c r="D11" s="7" t="inlineStr">
        <is>
          <t>단위</t>
        </is>
      </c>
      <c r="E11" s="7" t="inlineStr">
        <is>
          <t>수량</t>
        </is>
      </c>
      <c r="F11" s="7" t="inlineStr">
        <is>
          <t>횟수·일수</t>
        </is>
      </c>
      <c r="G11" s="7" t="inlineStr">
        <is>
          <t>금액</t>
        </is>
      </c>
      <c r="H11" s="7" t="inlineStr">
        <is>
          <t>수행단위별 금액</t>
        </is>
      </c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9" t="inlineStr">
        <is>
          <t>마마미디어</t>
        </is>
      </c>
      <c r="I12" s="10" t="inlineStr">
        <is>
          <t>지혜의영토</t>
        </is>
      </c>
    </row>
    <row r="13">
      <c r="A13" s="11" t="inlineStr">
        <is>
          <t>1. 기획 및 운영 총괄</t>
        </is>
      </c>
      <c r="B13" s="12" t="n"/>
      <c r="C13" s="12" t="n"/>
      <c r="D13" s="12" t="n"/>
      <c r="E13" s="12" t="n"/>
      <c r="F13" s="12" t="n"/>
      <c r="G13" s="13">
        <f>SUM(G14:G16)</f>
        <v/>
      </c>
      <c r="H13" s="13">
        <f>SUM(H14:H16)</f>
        <v/>
      </c>
      <c r="I13" s="13">
        <f>SUM(I14:I16)</f>
        <v/>
      </c>
    </row>
    <row r="14">
      <c r="A14" s="3" t="inlineStr">
        <is>
          <t>사업 총괄책임자 인건비</t>
        </is>
      </c>
      <c r="B14" s="3" t="inlineStr">
        <is>
          <t>운영계획 수립·착수회의·재단 협의·결과보고·현장 총괄</t>
        </is>
      </c>
      <c r="C14" s="14" t="n">
        <v>400000</v>
      </c>
      <c r="D14" s="4" t="inlineStr">
        <is>
          <t>인·일</t>
        </is>
      </c>
      <c r="E14" s="4" t="n">
        <v>1</v>
      </c>
      <c r="F14" s="4" t="n">
        <v>5</v>
      </c>
      <c r="G14" s="14">
        <f>C14*E14*F14</f>
        <v/>
      </c>
      <c r="H14" s="14" t="n"/>
      <c r="I14" s="14">
        <f>G14</f>
        <v/>
      </c>
    </row>
    <row r="15">
      <c r="A15" s="3" t="inlineStr">
        <is>
          <t>기획·운영 담당 인건비</t>
        </is>
      </c>
      <c r="B15" s="3" t="inlineStr">
        <is>
          <t>세부 추진계획·큐시트·업체 관리·현장 운영</t>
        </is>
      </c>
      <c r="C15" s="14" t="n">
        <v>300000</v>
      </c>
      <c r="D15" s="4" t="inlineStr">
        <is>
          <t>인·일</t>
        </is>
      </c>
      <c r="E15" s="4" t="n">
        <v>1</v>
      </c>
      <c r="F15" s="4" t="n">
        <v>8</v>
      </c>
      <c r="G15" s="14">
        <f>C15*E15*F15</f>
        <v/>
      </c>
      <c r="H15" s="14" t="n"/>
      <c r="I15" s="14">
        <f>G15</f>
        <v/>
      </c>
    </row>
    <row r="16">
      <c r="A16" s="3" t="inlineStr">
        <is>
          <t>현장 운영 PM</t>
        </is>
      </c>
      <c r="B16" s="3" t="inlineStr">
        <is>
          <t>사전답사·제작 협의·현장 총괄</t>
        </is>
      </c>
      <c r="C16" s="14" t="n">
        <v>849000</v>
      </c>
      <c r="D16" s="4" t="inlineStr">
        <is>
          <t>식</t>
        </is>
      </c>
      <c r="E16" s="4" t="n">
        <v>1</v>
      </c>
      <c r="F16" s="4" t="n">
        <v>2</v>
      </c>
      <c r="G16" s="14">
        <f>C16*E16*F16</f>
        <v/>
      </c>
      <c r="H16" s="14">
        <f>G16</f>
        <v/>
      </c>
      <c r="I16" s="14" t="n"/>
    </row>
    <row r="17">
      <c r="A17" s="11" t="inlineStr">
        <is>
          <t>2. 행사장 조성 및 시스템</t>
        </is>
      </c>
      <c r="B17" s="12" t="n"/>
      <c r="C17" s="12" t="n"/>
      <c r="D17" s="12" t="n"/>
      <c r="E17" s="12" t="n"/>
      <c r="F17" s="12" t="n"/>
      <c r="G17" s="13">
        <f>SUM(G18:G25)</f>
        <v/>
      </c>
      <c r="H17" s="13">
        <f>SUM(H18:H25)</f>
        <v/>
      </c>
      <c r="I17" s="13">
        <f>SUM(I18:I25)</f>
        <v/>
      </c>
    </row>
    <row r="18">
      <c r="A18" s="3" t="inlineStr">
        <is>
          <t>부산 행사장 대관료</t>
        </is>
      </c>
      <c r="B18" s="3" t="inlineStr">
        <is>
          <t>예산액(실비 정산)</t>
        </is>
      </c>
      <c r="C18" s="14" t="n">
        <v>1819000</v>
      </c>
      <c r="D18" s="4" t="inlineStr">
        <is>
          <t>식</t>
        </is>
      </c>
      <c r="E18" s="4" t="n">
        <v>1</v>
      </c>
      <c r="F18" s="4" t="n">
        <v>1</v>
      </c>
      <c r="G18" s="14">
        <f>C18*E18*F18</f>
        <v/>
      </c>
      <c r="H18" s="14">
        <f>G18</f>
        <v/>
      </c>
      <c r="I18" s="14" t="n"/>
    </row>
    <row r="19">
      <c r="A19" s="3" t="inlineStr">
        <is>
          <t>대전 행사장 대관료</t>
        </is>
      </c>
      <c r="B19" s="3" t="inlineStr">
        <is>
          <t>예산액(실비 정산)</t>
        </is>
      </c>
      <c r="C19" s="14" t="n">
        <v>1819000</v>
      </c>
      <c r="D19" s="4" t="inlineStr">
        <is>
          <t>식</t>
        </is>
      </c>
      <c r="E19" s="4" t="n">
        <v>1</v>
      </c>
      <c r="F19" s="4" t="n">
        <v>1</v>
      </c>
      <c r="G19" s="14">
        <f>C19*E19*F19</f>
        <v/>
      </c>
      <c r="H19" s="14">
        <f>G19</f>
        <v/>
      </c>
      <c r="I19" s="14" t="n"/>
    </row>
    <row r="20">
      <c r="A20" s="3" t="inlineStr">
        <is>
          <t>회의장 배치 및 설치</t>
        </is>
      </c>
      <c r="B20" s="3" t="inlineStr">
        <is>
          <t>원탁 배치·무대·스크린 설치·철수</t>
        </is>
      </c>
      <c r="C20" s="14" t="n">
        <v>424000</v>
      </c>
      <c r="D20" s="4" t="inlineStr">
        <is>
          <t>식</t>
        </is>
      </c>
      <c r="E20" s="4" t="n">
        <v>1</v>
      </c>
      <c r="F20" s="4" t="n">
        <v>2</v>
      </c>
      <c r="G20" s="14">
        <f>C20*E20*F20</f>
        <v/>
      </c>
      <c r="H20" s="14">
        <f>G20</f>
        <v/>
      </c>
      <c r="I20" s="14" t="n"/>
    </row>
    <row r="21">
      <c r="A21" s="3" t="inlineStr">
        <is>
          <t>음향감독</t>
        </is>
      </c>
      <c r="B21" s="3" t="inlineStr">
        <is>
          <t>리허설·현장 음향·조명 운영</t>
        </is>
      </c>
      <c r="C21" s="14" t="n">
        <v>606000</v>
      </c>
      <c r="D21" s="4" t="inlineStr">
        <is>
          <t>인</t>
        </is>
      </c>
      <c r="E21" s="4" t="n">
        <v>1</v>
      </c>
      <c r="F21" s="4" t="n">
        <v>2</v>
      </c>
      <c r="G21" s="14">
        <f>C21*E21*F21</f>
        <v/>
      </c>
      <c r="H21" s="14">
        <f>G21</f>
        <v/>
      </c>
      <c r="I21" s="14" t="n"/>
    </row>
    <row r="22">
      <c r="A22" s="3" t="inlineStr">
        <is>
          <t>영상오퍼레이터</t>
        </is>
      </c>
      <c r="B22" s="3" t="inlineStr">
        <is>
          <t>PPT·영상 재생 운영</t>
        </is>
      </c>
      <c r="C22" s="14" t="n">
        <v>606000</v>
      </c>
      <c r="D22" s="4" t="inlineStr">
        <is>
          <t>인</t>
        </is>
      </c>
      <c r="E22" s="4" t="n">
        <v>1</v>
      </c>
      <c r="F22" s="4" t="n">
        <v>2</v>
      </c>
      <c r="G22" s="14">
        <f>C22*E22*F22</f>
        <v/>
      </c>
      <c r="H22" s="14">
        <f>G22</f>
        <v/>
      </c>
      <c r="I22" s="14" t="n"/>
    </row>
    <row r="23">
      <c r="A23" s="3" t="inlineStr">
        <is>
          <t>노트북 임차</t>
        </is>
      </c>
      <c r="B23" s="3" t="inlineStr">
        <is>
          <t>발표 송출용 1대·접수용 1대</t>
        </is>
      </c>
      <c r="C23" s="14" t="n">
        <v>50000</v>
      </c>
      <c r="D23" s="4" t="inlineStr">
        <is>
          <t>대</t>
        </is>
      </c>
      <c r="E23" s="4" t="n">
        <v>2</v>
      </c>
      <c r="F23" s="4" t="n">
        <v>2</v>
      </c>
      <c r="G23" s="14">
        <f>C23*E23*F23</f>
        <v/>
      </c>
      <c r="H23" s="14" t="n"/>
      <c r="I23" s="14">
        <f>G23</f>
        <v/>
      </c>
    </row>
    <row r="24">
      <c r="A24" s="3" t="inlineStr">
        <is>
          <t>프린터 임차</t>
        </is>
      </c>
      <c r="B24" s="3" t="inlineStr">
        <is>
          <t>레이저 프린터(현장 출력·명찰 재출력)</t>
        </is>
      </c>
      <c r="C24" s="14" t="n">
        <v>80000</v>
      </c>
      <c r="D24" s="4" t="inlineStr">
        <is>
          <t>대</t>
        </is>
      </c>
      <c r="E24" s="4" t="n">
        <v>1</v>
      </c>
      <c r="F24" s="4" t="n">
        <v>2</v>
      </c>
      <c r="G24" s="14">
        <f>C24*E24*F24</f>
        <v/>
      </c>
      <c r="H24" s="14" t="n"/>
      <c r="I24" s="14">
        <f>G24</f>
        <v/>
      </c>
    </row>
    <row r="25">
      <c r="A25" s="3" t="inlineStr">
        <is>
          <t>접수 동선 셋팅·소모품</t>
        </is>
      </c>
      <c r="B25" s="3" t="inlineStr">
        <is>
          <t>접수대 비품·토너·용지·필기구·멀티탭 등</t>
        </is>
      </c>
      <c r="C25" s="14" t="n">
        <v>100000</v>
      </c>
      <c r="D25" s="4" t="inlineStr">
        <is>
          <t>식</t>
        </is>
      </c>
      <c r="E25" s="4" t="n">
        <v>1</v>
      </c>
      <c r="F25" s="4" t="n">
        <v>2</v>
      </c>
      <c r="G25" s="14">
        <f>C25*E25*F25</f>
        <v/>
      </c>
      <c r="H25" s="14" t="n"/>
      <c r="I25" s="14">
        <f>G25</f>
        <v/>
      </c>
    </row>
    <row r="26">
      <c r="A26" s="11" t="inlineStr">
        <is>
          <t>3. 제작물</t>
        </is>
      </c>
      <c r="B26" s="12" t="n"/>
      <c r="C26" s="12" t="n"/>
      <c r="D26" s="12" t="n"/>
      <c r="E26" s="12" t="n"/>
      <c r="F26" s="12" t="n"/>
      <c r="G26" s="13">
        <f>SUM(G27:G38)</f>
        <v/>
      </c>
      <c r="H26" s="13">
        <f>SUM(H27:H38)</f>
        <v/>
      </c>
      <c r="I26" s="13">
        <f>SUM(I27:I38)</f>
        <v/>
      </c>
    </row>
    <row r="27">
      <c r="A27" s="3" t="inlineStr">
        <is>
          <t>키비주얼 디자인</t>
        </is>
      </c>
      <c r="B27" s="3" t="inlineStr">
        <is>
          <t>2회 공통 디자인(제작물 전반 적용)</t>
        </is>
      </c>
      <c r="C27" s="14" t="n">
        <v>606000</v>
      </c>
      <c r="D27" s="4" t="inlineStr">
        <is>
          <t>식</t>
        </is>
      </c>
      <c r="E27" s="4" t="n">
        <v>1</v>
      </c>
      <c r="F27" s="4" t="n">
        <v>1</v>
      </c>
      <c r="G27" s="14">
        <f>C27*E27*F27</f>
        <v/>
      </c>
      <c r="H27" s="14">
        <f>G27</f>
        <v/>
      </c>
      <c r="I27" s="14" t="n"/>
    </row>
    <row r="28">
      <c r="A28" s="3" t="inlineStr">
        <is>
          <t>행사 자료집(혹은 리플릿) 편집</t>
        </is>
      </c>
      <c r="B28" s="3" t="inlineStr">
        <is>
          <t>원고 취합·편집디자인</t>
        </is>
      </c>
      <c r="C28" s="14" t="n">
        <v>330000</v>
      </c>
      <c r="D28" s="4" t="inlineStr">
        <is>
          <t>식</t>
        </is>
      </c>
      <c r="E28" s="4" t="n">
        <v>1</v>
      </c>
      <c r="F28" s="4" t="n">
        <v>2</v>
      </c>
      <c r="G28" s="14">
        <f>C28*E28*F28</f>
        <v/>
      </c>
      <c r="H28" s="14">
        <f>G28</f>
        <v/>
      </c>
      <c r="I28" s="14" t="n"/>
    </row>
    <row r="29">
      <c r="A29" s="3" t="inlineStr">
        <is>
          <t>행사 자료집(혹은 리플릿) 인쇄</t>
        </is>
      </c>
      <c r="B29" s="3" t="inlineStr">
        <is>
          <t>60부 내외(참석자 50명+예비)</t>
        </is>
      </c>
      <c r="C29" s="14" t="n">
        <v>5500</v>
      </c>
      <c r="D29" s="4" t="inlineStr">
        <is>
          <t>부</t>
        </is>
      </c>
      <c r="E29" s="4" t="n">
        <v>60</v>
      </c>
      <c r="F29" s="4" t="n">
        <v>2</v>
      </c>
      <c r="G29" s="14">
        <f>C29*E29*F29</f>
        <v/>
      </c>
      <c r="H29" s="14">
        <f>G29</f>
        <v/>
      </c>
      <c r="I29" s="14" t="n"/>
    </row>
    <row r="30">
      <c r="A30" s="3" t="inlineStr">
        <is>
          <t>사회자 시나리오·큐카드</t>
        </is>
      </c>
      <c r="B30" s="3" t="inlineStr">
        <is>
          <t>진행 시나리오 작성·큐카드 제작</t>
        </is>
      </c>
      <c r="C30" s="14" t="n">
        <v>220000</v>
      </c>
      <c r="D30" s="4" t="inlineStr">
        <is>
          <t>식</t>
        </is>
      </c>
      <c r="E30" s="4" t="n">
        <v>1</v>
      </c>
      <c r="F30" s="4" t="n">
        <v>2</v>
      </c>
      <c r="G30" s="14">
        <f>C30*E30*F30</f>
        <v/>
      </c>
      <c r="H30" s="14">
        <f>G30</f>
        <v/>
      </c>
      <c r="I30" s="14" t="n"/>
    </row>
    <row r="31">
      <c r="A31" s="3" t="inlineStr">
        <is>
          <t>현수막</t>
        </is>
      </c>
      <c r="B31" s="3" t="inlineStr">
        <is>
          <t>행사장 메인 현수막</t>
        </is>
      </c>
      <c r="C31" s="14" t="n">
        <v>160000</v>
      </c>
      <c r="D31" s="4" t="inlineStr">
        <is>
          <t>개</t>
        </is>
      </c>
      <c r="E31" s="4" t="n">
        <v>1</v>
      </c>
      <c r="F31" s="4" t="n">
        <v>2</v>
      </c>
      <c r="G31" s="14">
        <f>C31*E31*F31</f>
        <v/>
      </c>
      <c r="H31" s="14">
        <f>G31</f>
        <v/>
      </c>
      <c r="I31" s="14" t="n"/>
    </row>
    <row r="32">
      <c r="A32" s="3" t="inlineStr">
        <is>
          <t>배너</t>
        </is>
      </c>
      <c r="B32" s="3" t="inlineStr">
        <is>
          <t>X배너(입구·접수대)</t>
        </is>
      </c>
      <c r="C32" s="14" t="n">
        <v>60000</v>
      </c>
      <c r="D32" s="4" t="inlineStr">
        <is>
          <t>개</t>
        </is>
      </c>
      <c r="E32" s="4" t="n">
        <v>2</v>
      </c>
      <c r="F32" s="4" t="n">
        <v>2</v>
      </c>
      <c r="G32" s="14">
        <f>C32*E32*F32</f>
        <v/>
      </c>
      <c r="H32" s="14">
        <f>G32</f>
        <v/>
      </c>
      <c r="I32" s="14" t="n"/>
    </row>
    <row r="33">
      <c r="A33" s="3" t="inlineStr">
        <is>
          <t>폼보드</t>
        </is>
      </c>
      <c r="B33" s="3" t="inlineStr">
        <is>
          <t>안내·포토존 폼보드</t>
        </is>
      </c>
      <c r="C33" s="14" t="n">
        <v>42000</v>
      </c>
      <c r="D33" s="4" t="inlineStr">
        <is>
          <t>개</t>
        </is>
      </c>
      <c r="E33" s="4" t="n">
        <v>2</v>
      </c>
      <c r="F33" s="4" t="n">
        <v>2</v>
      </c>
      <c r="G33" s="14">
        <f>C33*E33*F33</f>
        <v/>
      </c>
      <c r="H33" s="14">
        <f>G33</f>
        <v/>
      </c>
      <c r="I33" s="14" t="n"/>
    </row>
    <row r="34">
      <c r="A34" s="3" t="inlineStr">
        <is>
          <t>마이크택</t>
        </is>
      </c>
      <c r="B34" s="3" t="inlineStr">
        <is>
          <t>무선·유선 마이크용</t>
        </is>
      </c>
      <c r="C34" s="14" t="n">
        <v>16500</v>
      </c>
      <c r="D34" s="4" t="inlineStr">
        <is>
          <t>개</t>
        </is>
      </c>
      <c r="E34" s="4" t="n">
        <v>4</v>
      </c>
      <c r="F34" s="4" t="n">
        <v>2</v>
      </c>
      <c r="G34" s="14">
        <f>C34*E34*F34</f>
        <v/>
      </c>
      <c r="H34" s="14">
        <f>G34</f>
        <v/>
      </c>
      <c r="I34" s="14" t="n"/>
    </row>
    <row r="35">
      <c r="A35" s="3" t="inlineStr">
        <is>
          <t>명패</t>
        </is>
      </c>
      <c r="B35" s="3" t="inlineStr">
        <is>
          <t>발제자·내빈 테이블 명패</t>
        </is>
      </c>
      <c r="C35" s="14" t="n">
        <v>5500</v>
      </c>
      <c r="D35" s="4" t="inlineStr">
        <is>
          <t>개</t>
        </is>
      </c>
      <c r="E35" s="4" t="n">
        <v>15</v>
      </c>
      <c r="F35" s="4" t="n">
        <v>2</v>
      </c>
      <c r="G35" s="14">
        <f>C35*E35*F35</f>
        <v/>
      </c>
      <c r="H35" s="14">
        <f>G35</f>
        <v/>
      </c>
      <c r="I35" s="14" t="n"/>
    </row>
    <row r="36">
      <c r="A36" s="3" t="inlineStr">
        <is>
          <t>명찰</t>
        </is>
      </c>
      <c r="B36" s="3" t="inlineStr">
        <is>
          <t>참석자·스태프 명찰(케이스·목걸이 포함)</t>
        </is>
      </c>
      <c r="C36" s="14" t="n">
        <v>2750</v>
      </c>
      <c r="D36" s="4" t="inlineStr">
        <is>
          <t>개</t>
        </is>
      </c>
      <c r="E36" s="4" t="n">
        <v>60</v>
      </c>
      <c r="F36" s="4" t="n">
        <v>2</v>
      </c>
      <c r="G36" s="14">
        <f>C36*E36*F36</f>
        <v/>
      </c>
      <c r="H36" s="14">
        <f>G36</f>
        <v/>
      </c>
      <c r="I36" s="14" t="n"/>
    </row>
    <row r="37">
      <c r="A37" s="3" t="inlineStr">
        <is>
          <t>참석자 다과·생수</t>
        </is>
      </c>
      <c r="B37" s="3" t="inlineStr">
        <is>
          <t>각 50명 기준</t>
        </is>
      </c>
      <c r="C37" s="14" t="n">
        <v>12000</v>
      </c>
      <c r="D37" s="4" t="inlineStr">
        <is>
          <t>명</t>
        </is>
      </c>
      <c r="E37" s="4" t="n">
        <v>50</v>
      </c>
      <c r="F37" s="4" t="n">
        <v>2</v>
      </c>
      <c r="G37" s="14">
        <f>C37*E37*F37</f>
        <v/>
      </c>
      <c r="H37" s="14">
        <f>G37</f>
        <v/>
      </c>
      <c r="I37" s="14" t="n"/>
    </row>
    <row r="38">
      <c r="A38" s="3" t="inlineStr">
        <is>
          <t>사전 티타임 준비</t>
        </is>
      </c>
      <c r="B38" s="3" t="inlineStr">
        <is>
          <t>내빈·발제자 10명 내외 다과·차·세팅</t>
        </is>
      </c>
      <c r="C38" s="14" t="n">
        <v>165000</v>
      </c>
      <c r="D38" s="4" t="inlineStr">
        <is>
          <t>식</t>
        </is>
      </c>
      <c r="E38" s="4" t="n">
        <v>1</v>
      </c>
      <c r="F38" s="4" t="n">
        <v>2</v>
      </c>
      <c r="G38" s="14">
        <f>C38*E38*F38</f>
        <v/>
      </c>
      <c r="H38" s="14">
        <f>G38</f>
        <v/>
      </c>
      <c r="I38" s="14" t="n"/>
    </row>
    <row r="39">
      <c r="A39" s="11" t="inlineStr">
        <is>
          <t>4. 사진 및 영상 제작</t>
        </is>
      </c>
      <c r="B39" s="12" t="n"/>
      <c r="C39" s="12" t="n"/>
      <c r="D39" s="12" t="n"/>
      <c r="E39" s="12" t="n"/>
      <c r="F39" s="12" t="n"/>
      <c r="G39" s="13">
        <f>SUM(G40:G43)</f>
        <v/>
      </c>
      <c r="H39" s="13">
        <f>SUM(H40:H43)</f>
        <v/>
      </c>
      <c r="I39" s="13">
        <f>SUM(I40:I43)</f>
        <v/>
      </c>
    </row>
    <row r="40">
      <c r="A40" s="3" t="inlineStr">
        <is>
          <t>원탁회의 현장스케치 영상</t>
        </is>
      </c>
      <c r="B40" s="3" t="inlineStr">
        <is>
          <t>'26년 원탁회의 스케치(2회 공통 상영)</t>
        </is>
      </c>
      <c r="C40" s="14" t="n">
        <v>606000</v>
      </c>
      <c r="D40" s="4" t="inlineStr">
        <is>
          <t>편</t>
        </is>
      </c>
      <c r="E40" s="4" t="n">
        <v>1</v>
      </c>
      <c r="F40" s="4" t="n">
        <v>1</v>
      </c>
      <c r="G40" s="14">
        <f>C40*E40*F40</f>
        <v/>
      </c>
      <c r="H40" s="14">
        <f>G40</f>
        <v/>
      </c>
      <c r="I40" s="14" t="n"/>
    </row>
    <row r="41">
      <c r="A41" s="3" t="inlineStr">
        <is>
          <t>결과보고회 영상 촬영</t>
        </is>
      </c>
      <c r="B41" s="3" t="inlineStr">
        <is>
          <t>행사별 스케치 영상 촬영</t>
        </is>
      </c>
      <c r="C41" s="14" t="n">
        <v>606000</v>
      </c>
      <c r="D41" s="4" t="inlineStr">
        <is>
          <t>인</t>
        </is>
      </c>
      <c r="E41" s="4" t="n">
        <v>1</v>
      </c>
      <c r="F41" s="4" t="n">
        <v>2</v>
      </c>
      <c r="G41" s="14">
        <f>C41*E41*F41</f>
        <v/>
      </c>
      <c r="H41" s="14">
        <f>G41</f>
        <v/>
      </c>
      <c r="I41" s="14" t="n"/>
    </row>
    <row r="42">
      <c r="A42" s="3" t="inlineStr">
        <is>
          <t>결과보고회 사진 촬영</t>
        </is>
      </c>
      <c r="B42" s="3" t="inlineStr">
        <is>
          <t>행사·단체사진</t>
        </is>
      </c>
      <c r="C42" s="14" t="n">
        <v>485000</v>
      </c>
      <c r="D42" s="4" t="inlineStr">
        <is>
          <t>인</t>
        </is>
      </c>
      <c r="E42" s="4" t="n">
        <v>1</v>
      </c>
      <c r="F42" s="4" t="n">
        <v>2</v>
      </c>
      <c r="G42" s="14">
        <f>C42*E42*F42</f>
        <v/>
      </c>
      <c r="H42" s="14">
        <f>G42</f>
        <v/>
      </c>
      <c r="I42" s="14" t="n"/>
    </row>
    <row r="43">
      <c r="A43" s="3" t="inlineStr">
        <is>
          <t>결과보고회 스케치 영상 편집</t>
        </is>
      </c>
      <c r="B43" s="3" t="inlineStr">
        <is>
          <t>행사별 결과영상</t>
        </is>
      </c>
      <c r="C43" s="14" t="n">
        <v>849000</v>
      </c>
      <c r="D43" s="4" t="inlineStr">
        <is>
          <t>편</t>
        </is>
      </c>
      <c r="E43" s="4" t="n">
        <v>1</v>
      </c>
      <c r="F43" s="4" t="n">
        <v>2</v>
      </c>
      <c r="G43" s="14">
        <f>C43*E43*F43</f>
        <v/>
      </c>
      <c r="H43" s="14">
        <f>G43</f>
        <v/>
      </c>
      <c r="I43" s="14" t="n"/>
    </row>
    <row r="44">
      <c r="A44" s="11" t="inlineStr">
        <is>
          <t>5. 행사 진행 및 운영</t>
        </is>
      </c>
      <c r="B44" s="12" t="n"/>
      <c r="C44" s="12" t="n"/>
      <c r="D44" s="12" t="n"/>
      <c r="E44" s="12" t="n"/>
      <c r="F44" s="12" t="n"/>
      <c r="G44" s="13">
        <f>SUM(G45:G46)</f>
        <v/>
      </c>
      <c r="H44" s="13">
        <f>SUM(H45:H46)</f>
        <v/>
      </c>
      <c r="I44" s="13">
        <f>SUM(I45:I46)</f>
        <v/>
      </c>
    </row>
    <row r="45">
      <c r="A45" s="3" t="inlineStr">
        <is>
          <t>현장 운영 보조</t>
        </is>
      </c>
      <c r="B45" s="3" t="inlineStr">
        <is>
          <t>행사보조·마이크 전달</t>
        </is>
      </c>
      <c r="C45" s="14" t="n">
        <v>243000</v>
      </c>
      <c r="D45" s="4" t="inlineStr">
        <is>
          <t>인</t>
        </is>
      </c>
      <c r="E45" s="4" t="n">
        <v>2</v>
      </c>
      <c r="F45" s="4" t="n">
        <v>2</v>
      </c>
      <c r="G45" s="14">
        <f>C45*E45*F45</f>
        <v/>
      </c>
      <c r="H45" s="14">
        <f>G45</f>
        <v/>
      </c>
      <c r="I45" s="14" t="n"/>
    </row>
    <row r="46">
      <c r="A46" s="3" t="inlineStr">
        <is>
          <t>등록·접수 안내 인력</t>
        </is>
      </c>
      <c r="B46" s="3" t="inlineStr">
        <is>
          <t>참석자 등록·안내·수당서명 접수</t>
        </is>
      </c>
      <c r="C46" s="14" t="n">
        <v>200000</v>
      </c>
      <c r="D46" s="4" t="inlineStr">
        <is>
          <t>인</t>
        </is>
      </c>
      <c r="E46" s="4" t="n">
        <v>2</v>
      </c>
      <c r="F46" s="4" t="n">
        <v>2</v>
      </c>
      <c r="G46" s="14">
        <f>C46*E46*F46</f>
        <v/>
      </c>
      <c r="H46" s="14" t="n"/>
      <c r="I46" s="14">
        <f>G46</f>
        <v/>
      </c>
    </row>
    <row r="47">
      <c r="A47" s="11" t="inlineStr">
        <is>
          <t>6. 참가자 모집 및 관리</t>
        </is>
      </c>
      <c r="B47" s="12" t="n"/>
      <c r="C47" s="12" t="n"/>
      <c r="D47" s="12" t="n"/>
      <c r="E47" s="12" t="n"/>
      <c r="F47" s="12" t="n"/>
      <c r="G47" s="13">
        <f>SUM(G48:G49)</f>
        <v/>
      </c>
      <c r="H47" s="13">
        <f>SUM(H48:H49)</f>
        <v/>
      </c>
      <c r="I47" s="13">
        <f>SUM(I48:I49)</f>
        <v/>
      </c>
    </row>
    <row r="48">
      <c r="A48" s="3" t="inlineStr">
        <is>
          <t>참가자 모집·관리 담당 인건비</t>
        </is>
      </c>
      <c r="B48" s="3" t="inlineStr">
        <is>
          <t>홍보·모집·선발·DB관리·사전안내·수당지급명세서 취합 제출</t>
        </is>
      </c>
      <c r="C48" s="14" t="n">
        <v>250000</v>
      </c>
      <c r="D48" s="4" t="inlineStr">
        <is>
          <t>인·일</t>
        </is>
      </c>
      <c r="E48" s="4" t="n">
        <v>1</v>
      </c>
      <c r="F48" s="4" t="n">
        <v>8</v>
      </c>
      <c r="G48" s="14">
        <f>C48*E48*F48</f>
        <v/>
      </c>
      <c r="H48" s="14" t="n"/>
      <c r="I48" s="14">
        <f>G48</f>
        <v/>
      </c>
    </row>
    <row r="49">
      <c r="A49" s="3" t="inlineStr">
        <is>
          <t>참가자 모집 홍보 실비</t>
        </is>
      </c>
      <c r="B49" s="3" t="inlineStr">
        <is>
          <t>문자 발송·온라인 홍보 등</t>
        </is>
      </c>
      <c r="C49" s="14" t="n">
        <v>150000</v>
      </c>
      <c r="D49" s="4" t="inlineStr">
        <is>
          <t>식</t>
        </is>
      </c>
      <c r="E49" s="4" t="n">
        <v>1</v>
      </c>
      <c r="F49" s="4" t="n">
        <v>2</v>
      </c>
      <c r="G49" s="14">
        <f>C49*E49*F49</f>
        <v/>
      </c>
      <c r="H49" s="14" t="n"/>
      <c r="I49" s="14">
        <f>G49</f>
        <v/>
      </c>
    </row>
    <row r="50">
      <c r="A50" s="11" t="inlineStr">
        <is>
          <t>7. 출장 및 운송</t>
        </is>
      </c>
      <c r="B50" s="12" t="n"/>
      <c r="C50" s="12" t="n"/>
      <c r="D50" s="12" t="n"/>
      <c r="E50" s="12" t="n"/>
      <c r="F50" s="12" t="n"/>
      <c r="G50" s="13">
        <f>SUM(G51:G52)</f>
        <v/>
      </c>
      <c r="H50" s="13">
        <f>SUM(H51:H52)</f>
        <v/>
      </c>
      <c r="I50" s="13">
        <f>SUM(I51:I52)</f>
        <v/>
      </c>
    </row>
    <row r="51">
      <c r="A51" s="3" t="inlineStr">
        <is>
          <t>출장·운송·숙박(제작·기술 인력)</t>
        </is>
      </c>
      <c r="B51" s="3" t="inlineStr">
        <is>
          <t>장비·제작물 운송, 2회 합산</t>
        </is>
      </c>
      <c r="C51" s="14" t="n">
        <v>1590000</v>
      </c>
      <c r="D51" s="4" t="inlineStr">
        <is>
          <t>식</t>
        </is>
      </c>
      <c r="E51" s="4" t="n">
        <v>1</v>
      </c>
      <c r="F51" s="4" t="n">
        <v>1</v>
      </c>
      <c r="G51" s="14">
        <f>C51*E51*F51</f>
        <v/>
      </c>
      <c r="H51" s="14">
        <f>G51</f>
        <v/>
      </c>
      <c r="I51" s="14" t="n"/>
    </row>
    <row r="52">
      <c r="A52" s="3" t="inlineStr">
        <is>
          <t>출장비(운영 인력)</t>
        </is>
      </c>
      <c r="B52" s="3" t="inlineStr">
        <is>
          <t>부산·대전 교통·숙박, 2회 합산</t>
        </is>
      </c>
      <c r="C52" s="14" t="n">
        <v>800000</v>
      </c>
      <c r="D52" s="4" t="inlineStr">
        <is>
          <t>식</t>
        </is>
      </c>
      <c r="E52" s="4" t="n">
        <v>1</v>
      </c>
      <c r="F52" s="4" t="n">
        <v>1</v>
      </c>
      <c r="G52" s="14">
        <f>C52*E52*F52</f>
        <v/>
      </c>
      <c r="H52" s="14" t="n"/>
      <c r="I52" s="14">
        <f>G52</f>
        <v/>
      </c>
    </row>
    <row r="53">
      <c r="A53" s="2" t="inlineStr">
        <is>
          <t>직접비 소계</t>
        </is>
      </c>
      <c r="B53" s="12" t="n"/>
      <c r="C53" s="12" t="n"/>
      <c r="D53" s="12" t="n"/>
      <c r="E53" s="12" t="n"/>
      <c r="F53" s="12" t="n"/>
      <c r="G53" s="13">
        <f>G13+G17+G26+G39+G44+G47+G50</f>
        <v/>
      </c>
      <c r="H53" s="13">
        <f>H13+H17+H26+H39+H44+H47+H50</f>
        <v/>
      </c>
      <c r="I53" s="13">
        <f>I13+I17+I26+I39+I44+I47+I50</f>
        <v/>
      </c>
    </row>
    <row r="54">
      <c r="A54" s="4" t="inlineStr">
        <is>
          <t>일반관리비 (직접비 × 5%)</t>
        </is>
      </c>
      <c r="B54" s="4" t="n"/>
      <c r="C54" s="4" t="n"/>
      <c r="D54" s="4" t="n"/>
      <c r="E54" s="4" t="n"/>
      <c r="F54" s="4" t="n"/>
      <c r="G54" s="14">
        <f>ROUND(G53*5%,0)</f>
        <v/>
      </c>
      <c r="H54" s="14" t="n"/>
      <c r="I54" s="14">
        <f>G54</f>
        <v/>
      </c>
    </row>
    <row r="55">
      <c r="A55" s="4" t="inlineStr">
        <is>
          <t>기업이윤 ((직접비+일반관리비) × 5%)</t>
        </is>
      </c>
      <c r="B55" s="4" t="n"/>
      <c r="C55" s="4" t="n"/>
      <c r="D55" s="4" t="n"/>
      <c r="E55" s="4" t="n"/>
      <c r="F55" s="4" t="n"/>
      <c r="G55" s="14">
        <f>ROUND((G53+G54)*5%,0)</f>
        <v/>
      </c>
      <c r="H55" s="14" t="n"/>
      <c r="I55" s="14">
        <f>G55</f>
        <v/>
      </c>
    </row>
    <row r="56">
      <c r="A56" s="4" t="inlineStr">
        <is>
          <t>단수조정 (공급가액 만원 미만 절사)</t>
        </is>
      </c>
      <c r="B56" s="4" t="n"/>
      <c r="C56" s="4" t="n"/>
      <c r="D56" s="4" t="n"/>
      <c r="E56" s="4" t="n"/>
      <c r="F56" s="4" t="n"/>
      <c r="G56" s="14">
        <f>ROUNDDOWN(G53+G54+G55,-4)-(G53+G54+G55)</f>
        <v/>
      </c>
      <c r="H56" s="14" t="n"/>
      <c r="I56" s="14">
        <f>G56</f>
        <v/>
      </c>
    </row>
    <row r="57">
      <c r="A57" s="2" t="inlineStr">
        <is>
          <t>공급가액 소계</t>
        </is>
      </c>
      <c r="B57" s="12" t="n"/>
      <c r="C57" s="12" t="n"/>
      <c r="D57" s="12" t="n"/>
      <c r="E57" s="12" t="n"/>
      <c r="F57" s="12" t="n"/>
      <c r="G57" s="13">
        <f>G53+G54+G55+G56</f>
        <v/>
      </c>
      <c r="H57" s="13">
        <f>H53</f>
        <v/>
      </c>
      <c r="I57" s="13">
        <f>I53+I54+I55+I56</f>
        <v/>
      </c>
    </row>
    <row r="58">
      <c r="A58" s="4" t="inlineStr">
        <is>
          <t>부가가치세 (공급가액 × 10%)</t>
        </is>
      </c>
      <c r="B58" s="4" t="n"/>
      <c r="C58" s="4" t="n"/>
      <c r="D58" s="4" t="n"/>
      <c r="E58" s="4" t="n"/>
      <c r="F58" s="4" t="n"/>
      <c r="G58" s="14">
        <f>ROUND(G57*10%,0)</f>
        <v/>
      </c>
      <c r="H58" s="14">
        <f>ROUND(H57*10%,0)</f>
        <v/>
      </c>
      <c r="I58" s="14">
        <f>G58-H58</f>
        <v/>
      </c>
    </row>
    <row r="59">
      <c r="A59" s="15" t="inlineStr">
        <is>
          <t>총계 (부가가치세 포함)</t>
        </is>
      </c>
      <c r="B59" s="16" t="n"/>
      <c r="C59" s="16" t="n"/>
      <c r="D59" s="16" t="n"/>
      <c r="E59" s="16" t="n"/>
      <c r="F59" s="16" t="n"/>
      <c r="G59" s="17">
        <f>G57+G58</f>
        <v/>
      </c>
      <c r="H59" s="17">
        <f>H57+H58</f>
        <v/>
      </c>
      <c r="I59" s="17">
        <f>I57+I58</f>
        <v/>
      </c>
    </row>
    <row r="61">
      <c r="A61" s="18" t="inlineStr">
        <is>
          <t>※ 비고</t>
        </is>
      </c>
    </row>
    <row r="62" ht="26" customHeight="1">
      <c r="A62" s="19" t="inlineStr">
        <is>
          <t>1. 수행단위별 금액: 마마미디어(행사장 조성·음향영상·제작물 전반·사진영상·현장운영 보조), 지혜의영토(사업 총괄·기획운영·참가자 모집관리·접수 시스템). 일반관리비·기업이윤은 지혜의영토에 귀속합니다.</t>
        </is>
      </c>
    </row>
    <row r="63">
      <c r="A63" s="19" t="inlineStr">
        <is>
          <t>2. 행사장 대관료는 부산·대전 각 예산액 기준이며, 장소 확정 후 실제 임차료로 정산합니다. (재단 직접 계약 시 해당 금액 제외)</t>
        </is>
      </c>
    </row>
    <row r="64">
      <c r="A64" s="19" t="inlineStr">
        <is>
          <t>3. 참가자 사례비(참석수당)는 재단 부담으로 본 견적에서 제외하며, 수당지급명세서 취합·제출 업무는 포함합니다.</t>
        </is>
      </c>
    </row>
    <row r="65">
      <c r="A65" s="19" t="inlineStr">
        <is>
          <t>4. 전문사회자, 식사, 온라인 생중계, 시설 기본장비 외 추가 장비 임차는 제외(필요 시 별도 협의)입니다.</t>
        </is>
      </c>
    </row>
    <row r="66">
      <c r="A66" s="19" t="inlineStr">
        <is>
          <t>5. 인쇄물·자료집 수량 및 규격은 착수회의 시 확정하며, 변동 시 협의 후 조정합니다.</t>
        </is>
      </c>
    </row>
    <row r="67">
      <c r="A67" s="19" t="inlineStr">
        <is>
          <t>6. 행사 일정·장소 변경 등 재단 요청사항 발생 시 상호 협의하여 조정합니다.</t>
        </is>
      </c>
    </row>
  </sheetData>
  <mergeCells count="47">
    <mergeCell ref="A54:F54"/>
    <mergeCell ref="A65:I65"/>
    <mergeCell ref="G6:I6"/>
    <mergeCell ref="A66:I66"/>
    <mergeCell ref="E5:F5"/>
    <mergeCell ref="B11:B12"/>
    <mergeCell ref="G3:I3"/>
    <mergeCell ref="D11:D12"/>
    <mergeCell ref="A50:F50"/>
    <mergeCell ref="A26:F26"/>
    <mergeCell ref="A56:F56"/>
    <mergeCell ref="A55:F55"/>
    <mergeCell ref="A57:F57"/>
    <mergeCell ref="E4:F4"/>
    <mergeCell ref="A47:F47"/>
    <mergeCell ref="G5:I5"/>
    <mergeCell ref="D9:I9"/>
    <mergeCell ref="G4:I4"/>
    <mergeCell ref="A17:F17"/>
    <mergeCell ref="C11:C12"/>
    <mergeCell ref="E11:E12"/>
    <mergeCell ref="A53:F53"/>
    <mergeCell ref="B6:D6"/>
    <mergeCell ref="A62:I62"/>
    <mergeCell ref="H11:I11"/>
    <mergeCell ref="B5:D5"/>
    <mergeCell ref="E6:F6"/>
    <mergeCell ref="A63:I63"/>
    <mergeCell ref="A13:F13"/>
    <mergeCell ref="A44:F44"/>
    <mergeCell ref="B4:D4"/>
    <mergeCell ref="A9:C9"/>
    <mergeCell ref="A58:F58"/>
    <mergeCell ref="A67:I67"/>
    <mergeCell ref="B7:D7"/>
    <mergeCell ref="A39:F39"/>
    <mergeCell ref="F11:F12"/>
    <mergeCell ref="A59:F59"/>
    <mergeCell ref="A64:I64"/>
    <mergeCell ref="B3:D3"/>
    <mergeCell ref="E7:F7"/>
    <mergeCell ref="A1:I1"/>
    <mergeCell ref="E3:F3"/>
    <mergeCell ref="A61:I61"/>
    <mergeCell ref="G11:G12"/>
    <mergeCell ref="G7:I7"/>
    <mergeCell ref="A11:A12"/>
  </mergeCells>
  <printOptions horizontalCentered="1"/>
  <pageMargins left="0.3" right="0.3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2026-10-19T07:59:28Z</dcterms:created>
  <dcterms:modified xmlns:dcterms="http://purl.org/dc/terms/" xmlns:xsi="http://www.w3.org/2001/XMLSchema-instance" xsi:type="dcterms:W3CDTF">2026-10-19T07:59:28Z</dcterms:modified>
</cp:coreProperties>
</file>