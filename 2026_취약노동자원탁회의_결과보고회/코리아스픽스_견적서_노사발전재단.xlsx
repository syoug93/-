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금 &quot;#,##0&quot;원정&quot;"/>
  </numFmts>
  <fonts count="8">
    <font>
      <name val="Calibri"/>
      <family val="2"/>
      <color theme="1"/>
      <sz val="11"/>
      <scheme val="minor"/>
    </font>
    <font>
      <name val="맑은 고딕"/>
      <b val="1"/>
      <sz val="20"/>
    </font>
    <font>
      <name val="맑은 고딕"/>
      <b val="1"/>
      <sz val="10"/>
    </font>
    <font>
      <name val="맑은 고딕"/>
      <sz val="10"/>
    </font>
    <font>
      <name val="맑은 고딕"/>
      <b val="1"/>
      <sz val="12"/>
    </font>
    <font>
      <name val="맑은 고딕"/>
      <b val="1"/>
      <color rgb="00FFFFFF"/>
      <sz val="10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8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3" customWidth="1" min="3" max="3"/>
    <col width="7" customWidth="1" min="4" max="4"/>
    <col width="7" customWidth="1" min="5" max="5"/>
    <col width="7" customWidth="1" min="6" max="6"/>
    <col width="15" customWidth="1" min="7" max="7"/>
  </cols>
  <sheetData>
    <row r="1" ht="40" customHeight="1">
      <c r="A1" s="1" t="inlineStr">
        <is>
          <t>견    적    서</t>
        </is>
      </c>
    </row>
    <row r="3">
      <c r="A3" s="2" t="inlineStr">
        <is>
          <t>수신</t>
        </is>
      </c>
      <c r="B3" s="3" t="inlineStr">
        <is>
          <t>노사발전재단 귀중</t>
        </is>
      </c>
      <c r="C3" s="4" t="n"/>
      <c r="D3" s="2" t="inlineStr">
        <is>
          <t>상호</t>
        </is>
      </c>
      <c r="E3" s="4" t="n"/>
      <c r="F3" s="3" t="inlineStr">
        <is>
          <t>코리아스픽스</t>
        </is>
      </c>
      <c r="G3" s="4" t="n"/>
    </row>
    <row r="4">
      <c r="A4" s="2" t="inlineStr">
        <is>
          <t>건명</t>
        </is>
      </c>
      <c r="B4" s="3" t="inlineStr">
        <is>
          <t>2026년 취약노동자 원탁회의 결과보고회 행사대행 용역</t>
        </is>
      </c>
      <c r="C4" s="4" t="n"/>
      <c r="D4" s="2" t="inlineStr">
        <is>
          <t>대표자</t>
        </is>
      </c>
      <c r="E4" s="4" t="n"/>
      <c r="F4" s="3" t="inlineStr">
        <is>
          <t xml:space="preserve">                (인)</t>
        </is>
      </c>
      <c r="G4" s="4" t="n"/>
    </row>
    <row r="5">
      <c r="A5" s="2" t="inlineStr">
        <is>
          <t>행사</t>
        </is>
      </c>
      <c r="B5" s="3" t="inlineStr">
        <is>
          <t>(1차) 경상권 11.10.(부산) / (2차) 충청권 11.24.(대전), 각 50명 내외</t>
        </is>
      </c>
      <c r="C5" s="4" t="n"/>
      <c r="D5" s="2" t="inlineStr">
        <is>
          <t>사업자등록번호</t>
        </is>
      </c>
      <c r="E5" s="4" t="n"/>
      <c r="F5" s="3" t="inlineStr"/>
      <c r="G5" s="4" t="n"/>
    </row>
    <row r="6">
      <c r="A6" s="2" t="inlineStr">
        <is>
          <t>견적일</t>
        </is>
      </c>
      <c r="B6" s="3" t="inlineStr">
        <is>
          <t>2026. 10. 19.</t>
        </is>
      </c>
      <c r="C6" s="4" t="n"/>
      <c r="D6" s="2" t="inlineStr">
        <is>
          <t>주소</t>
        </is>
      </c>
      <c r="E6" s="4" t="n"/>
      <c r="F6" s="3" t="inlineStr"/>
      <c r="G6" s="4" t="n"/>
    </row>
    <row r="7">
      <c r="A7" s="2" t="inlineStr">
        <is>
          <t>유효기간</t>
        </is>
      </c>
      <c r="B7" s="3" t="inlineStr">
        <is>
          <t>견적일로부터 30일</t>
        </is>
      </c>
      <c r="C7" s="4" t="n"/>
      <c r="D7" s="2" t="inlineStr">
        <is>
          <t>담당</t>
        </is>
      </c>
      <c r="E7" s="4" t="n"/>
      <c r="F7" s="3" t="inlineStr">
        <is>
          <t>이소연 차장 (sylee@kspeaks.kr)</t>
        </is>
      </c>
      <c r="G7" s="4" t="n"/>
    </row>
    <row r="9">
      <c r="A9" s="5" t="inlineStr">
        <is>
          <t>합계금액 (부가가치세 포함)</t>
        </is>
      </c>
      <c r="B9" s="6" t="n"/>
      <c r="C9" s="7">
        <f>G51</f>
        <v/>
      </c>
      <c r="D9" s="7" t="n"/>
      <c r="E9" s="7" t="n"/>
      <c r="F9" s="7" t="n"/>
      <c r="G9" s="7" t="n"/>
    </row>
    <row r="11">
      <c r="A11" s="8" t="inlineStr">
        <is>
          <t>항목</t>
        </is>
      </c>
      <c r="B11" s="8" t="inlineStr">
        <is>
          <t>내용·규격</t>
        </is>
      </c>
      <c r="C11" s="8" t="inlineStr">
        <is>
          <t>단가</t>
        </is>
      </c>
      <c r="D11" s="8" t="inlineStr">
        <is>
          <t>단위</t>
        </is>
      </c>
      <c r="E11" s="8" t="inlineStr">
        <is>
          <t>수량</t>
        </is>
      </c>
      <c r="F11" s="8" t="inlineStr">
        <is>
          <t>횟수</t>
        </is>
      </c>
      <c r="G11" s="8" t="inlineStr">
        <is>
          <t>금액</t>
        </is>
      </c>
    </row>
    <row r="12">
      <c r="A12" s="9" t="inlineStr">
        <is>
          <t>1. 기획 및 운영 총괄</t>
        </is>
      </c>
      <c r="B12" s="10" t="n"/>
      <c r="C12" s="10" t="n"/>
      <c r="D12" s="10" t="n"/>
      <c r="E12" s="10" t="n"/>
      <c r="F12" s="10" t="n"/>
      <c r="G12" s="11">
        <f>SUM(G13:G15)</f>
        <v/>
      </c>
    </row>
    <row r="13">
      <c r="A13" s="3" t="inlineStr">
        <is>
          <t>사업 총괄 기획</t>
        </is>
      </c>
      <c r="B13" s="3" t="inlineStr">
        <is>
          <t>운영계획 수립·착수회의·재단 협의·결과보고</t>
        </is>
      </c>
      <c r="C13" s="12" t="n">
        <v>1500000</v>
      </c>
      <c r="D13" s="4" t="inlineStr">
        <is>
          <t>식</t>
        </is>
      </c>
      <c r="E13" s="4" t="n">
        <v>1</v>
      </c>
      <c r="F13" s="4" t="n">
        <v>1</v>
      </c>
      <c r="G13" s="12">
        <f>C13*E13*F13</f>
        <v/>
      </c>
    </row>
    <row r="14">
      <c r="A14" s="3" t="inlineStr">
        <is>
          <t>사업 총괄책임자 현장 운영</t>
        </is>
      </c>
      <c r="B14" s="3" t="inlineStr">
        <is>
          <t>행사 당일 총괄·재단 응대</t>
        </is>
      </c>
      <c r="C14" s="12" t="n">
        <v>500000</v>
      </c>
      <c r="D14" s="4" t="inlineStr">
        <is>
          <t>인</t>
        </is>
      </c>
      <c r="E14" s="4" t="n">
        <v>1</v>
      </c>
      <c r="F14" s="4" t="n">
        <v>2</v>
      </c>
      <c r="G14" s="12">
        <f>C14*E14*F14</f>
        <v/>
      </c>
    </row>
    <row r="15">
      <c r="A15" s="3" t="inlineStr">
        <is>
          <t>현장 운영 PM</t>
        </is>
      </c>
      <c r="B15" s="3" t="inlineStr">
        <is>
          <t>사전답사·업체 협의·현장 총괄</t>
        </is>
      </c>
      <c r="C15" s="12" t="n">
        <v>849000</v>
      </c>
      <c r="D15" s="4" t="inlineStr">
        <is>
          <t>식</t>
        </is>
      </c>
      <c r="E15" s="4" t="n">
        <v>1</v>
      </c>
      <c r="F15" s="4" t="n">
        <v>2</v>
      </c>
      <c r="G15" s="12">
        <f>C15*E15*F15</f>
        <v/>
      </c>
    </row>
    <row r="16">
      <c r="A16" s="9" t="inlineStr">
        <is>
          <t>2. 행사장 조성 및 시스템</t>
        </is>
      </c>
      <c r="B16" s="10" t="n"/>
      <c r="C16" s="10" t="n"/>
      <c r="D16" s="10" t="n"/>
      <c r="E16" s="10" t="n"/>
      <c r="F16" s="10" t="n"/>
      <c r="G16" s="11">
        <f>SUM(G17:G22)</f>
        <v/>
      </c>
    </row>
    <row r="17">
      <c r="A17" s="3" t="inlineStr">
        <is>
          <t>부산 행사장 대관료</t>
        </is>
      </c>
      <c r="B17" s="3" t="inlineStr">
        <is>
          <t>예산액(실비 정산)</t>
        </is>
      </c>
      <c r="C17" s="12" t="n">
        <v>1819000</v>
      </c>
      <c r="D17" s="4" t="inlineStr">
        <is>
          <t>식</t>
        </is>
      </c>
      <c r="E17" s="4" t="n">
        <v>1</v>
      </c>
      <c r="F17" s="4" t="n">
        <v>1</v>
      </c>
      <c r="G17" s="12">
        <f>C17*E17*F17</f>
        <v/>
      </c>
    </row>
    <row r="18">
      <c r="A18" s="3" t="inlineStr">
        <is>
          <t>대전 행사장 대관료</t>
        </is>
      </c>
      <c r="B18" s="3" t="inlineStr">
        <is>
          <t>예산액(실비 정산)</t>
        </is>
      </c>
      <c r="C18" s="12" t="n">
        <v>1819000</v>
      </c>
      <c r="D18" s="4" t="inlineStr">
        <is>
          <t>식</t>
        </is>
      </c>
      <c r="E18" s="4" t="n">
        <v>1</v>
      </c>
      <c r="F18" s="4" t="n">
        <v>1</v>
      </c>
      <c r="G18" s="12">
        <f>C18*E18*F18</f>
        <v/>
      </c>
    </row>
    <row r="19">
      <c r="A19" s="3" t="inlineStr">
        <is>
          <t>회의장 배치 및 설치</t>
        </is>
      </c>
      <c r="B19" s="3" t="inlineStr">
        <is>
          <t>원탁 배치·설치·철수</t>
        </is>
      </c>
      <c r="C19" s="12" t="n">
        <v>424000</v>
      </c>
      <c r="D19" s="4" t="inlineStr">
        <is>
          <t>식</t>
        </is>
      </c>
      <c r="E19" s="4" t="n">
        <v>1</v>
      </c>
      <c r="F19" s="4" t="n">
        <v>2</v>
      </c>
      <c r="G19" s="12">
        <f>C19*E19*F19</f>
        <v/>
      </c>
    </row>
    <row r="20">
      <c r="A20" s="3" t="inlineStr">
        <is>
          <t>음향감독</t>
        </is>
      </c>
      <c r="B20" s="3" t="inlineStr">
        <is>
          <t>리허설·현장 음향 운영</t>
        </is>
      </c>
      <c r="C20" s="12" t="n">
        <v>606000</v>
      </c>
      <c r="D20" s="4" t="inlineStr">
        <is>
          <t>인</t>
        </is>
      </c>
      <c r="E20" s="4" t="n">
        <v>1</v>
      </c>
      <c r="F20" s="4" t="n">
        <v>2</v>
      </c>
      <c r="G20" s="12">
        <f>C20*E20*F20</f>
        <v/>
      </c>
    </row>
    <row r="21">
      <c r="A21" s="3" t="inlineStr">
        <is>
          <t>영상오퍼레이터</t>
        </is>
      </c>
      <c r="B21" s="3" t="inlineStr">
        <is>
          <t>PPT·영상 재생 운영</t>
        </is>
      </c>
      <c r="C21" s="12" t="n">
        <v>606000</v>
      </c>
      <c r="D21" s="4" t="inlineStr">
        <is>
          <t>인</t>
        </is>
      </c>
      <c r="E21" s="4" t="n">
        <v>1</v>
      </c>
      <c r="F21" s="4" t="n">
        <v>2</v>
      </c>
      <c r="G21" s="12">
        <f>C21*E21*F21</f>
        <v/>
      </c>
    </row>
    <row r="22">
      <c r="A22" s="3" t="inlineStr">
        <is>
          <t>접수 기자재</t>
        </is>
      </c>
      <c r="B22" s="3" t="inlineStr">
        <is>
          <t>노트북·프린터 등 접수 장비</t>
        </is>
      </c>
      <c r="C22" s="12" t="n">
        <v>100000</v>
      </c>
      <c r="D22" s="4" t="inlineStr">
        <is>
          <t>식</t>
        </is>
      </c>
      <c r="E22" s="4" t="n">
        <v>1</v>
      </c>
      <c r="F22" s="4" t="n">
        <v>2</v>
      </c>
      <c r="G22" s="12">
        <f>C22*E22*F22</f>
        <v/>
      </c>
    </row>
    <row r="23">
      <c r="A23" s="9" t="inlineStr">
        <is>
          <t>3. 디자인 및 제작물</t>
        </is>
      </c>
      <c r="B23" s="10" t="n"/>
      <c r="C23" s="10" t="n"/>
      <c r="D23" s="10" t="n"/>
      <c r="E23" s="10" t="n"/>
      <c r="F23" s="10" t="n"/>
      <c r="G23" s="11">
        <f>SUM(G24:G28)</f>
        <v/>
      </c>
    </row>
    <row r="24">
      <c r="A24" s="3" t="inlineStr">
        <is>
          <t>키비주얼 디자인</t>
        </is>
      </c>
      <c r="B24" s="3" t="inlineStr">
        <is>
          <t>2회 공통 디자인</t>
        </is>
      </c>
      <c r="C24" s="12" t="n">
        <v>606000</v>
      </c>
      <c r="D24" s="4" t="inlineStr">
        <is>
          <t>식</t>
        </is>
      </c>
      <c r="E24" s="4" t="n">
        <v>1</v>
      </c>
      <c r="F24" s="4" t="n">
        <v>1</v>
      </c>
      <c r="G24" s="12">
        <f>C24*E24*F24</f>
        <v/>
      </c>
    </row>
    <row r="25">
      <c r="A25" s="3" t="inlineStr">
        <is>
          <t>홍보·연출 인쇄물</t>
        </is>
      </c>
      <c r="B25" s="3" t="inlineStr">
        <is>
          <t>X배너·현수막·폼보드 등</t>
        </is>
      </c>
      <c r="C25" s="12" t="n">
        <v>364000</v>
      </c>
      <c r="D25" s="4" t="inlineStr">
        <is>
          <t>식</t>
        </is>
      </c>
      <c r="E25" s="4" t="n">
        <v>1</v>
      </c>
      <c r="F25" s="4" t="n">
        <v>2</v>
      </c>
      <c r="G25" s="12">
        <f>C25*E25*F25</f>
        <v/>
      </c>
    </row>
    <row r="26">
      <c r="A26" s="3" t="inlineStr">
        <is>
          <t>행사 자료집(리플릿)</t>
        </is>
      </c>
      <c r="B26" s="3" t="inlineStr">
        <is>
          <t>원고 취합·편집·인쇄(60부 내외)</t>
        </is>
      </c>
      <c r="C26" s="12" t="n">
        <v>600000</v>
      </c>
      <c r="D26" s="4" t="inlineStr">
        <is>
          <t>식</t>
        </is>
      </c>
      <c r="E26" s="4" t="n">
        <v>1</v>
      </c>
      <c r="F26" s="4" t="n">
        <v>2</v>
      </c>
      <c r="G26" s="12">
        <f>C26*E26*F26</f>
        <v/>
      </c>
    </row>
    <row r="27">
      <c r="A27" s="3" t="inlineStr">
        <is>
          <t>사회자 시나리오·큐카드</t>
        </is>
      </c>
      <c r="B27" s="3" t="inlineStr">
        <is>
          <t>진행 시나리오 작성·큐카드 제작</t>
        </is>
      </c>
      <c r="C27" s="12" t="n">
        <v>200000</v>
      </c>
      <c r="D27" s="4" t="inlineStr">
        <is>
          <t>식</t>
        </is>
      </c>
      <c r="E27" s="4" t="n">
        <v>1</v>
      </c>
      <c r="F27" s="4" t="n">
        <v>2</v>
      </c>
      <c r="G27" s="12">
        <f>C27*E27*F27</f>
        <v/>
      </c>
    </row>
    <row r="28">
      <c r="A28" s="3" t="inlineStr">
        <is>
          <t>명패·명찰·마이크택</t>
        </is>
      </c>
      <c r="B28" s="3" t="inlineStr">
        <is>
          <t>참석자·발제자용</t>
        </is>
      </c>
      <c r="C28" s="12" t="n">
        <v>150000</v>
      </c>
      <c r="D28" s="4" t="inlineStr">
        <is>
          <t>식</t>
        </is>
      </c>
      <c r="E28" s="4" t="n">
        <v>1</v>
      </c>
      <c r="F28" s="4" t="n">
        <v>2</v>
      </c>
      <c r="G28" s="12">
        <f>C28*E28*F28</f>
        <v/>
      </c>
    </row>
    <row r="29">
      <c r="A29" s="9" t="inlineStr">
        <is>
          <t>4. 사진 및 영상 제작</t>
        </is>
      </c>
      <c r="B29" s="10" t="n"/>
      <c r="C29" s="10" t="n"/>
      <c r="D29" s="10" t="n"/>
      <c r="E29" s="10" t="n"/>
      <c r="F29" s="10" t="n"/>
      <c r="G29" s="11">
        <f>SUM(G30:G33)</f>
        <v/>
      </c>
    </row>
    <row r="30">
      <c r="A30" s="3" t="inlineStr">
        <is>
          <t>원탁회의 현장스케치 영상</t>
        </is>
      </c>
      <c r="B30" s="3" t="inlineStr">
        <is>
          <t>'26년 원탁회의 스케치(2회 공통 상영)</t>
        </is>
      </c>
      <c r="C30" s="12" t="n">
        <v>606000</v>
      </c>
      <c r="D30" s="4" t="inlineStr">
        <is>
          <t>편</t>
        </is>
      </c>
      <c r="E30" s="4" t="n">
        <v>1</v>
      </c>
      <c r="F30" s="4" t="n">
        <v>1</v>
      </c>
      <c r="G30" s="12">
        <f>C30*E30*F30</f>
        <v/>
      </c>
    </row>
    <row r="31">
      <c r="A31" s="3" t="inlineStr">
        <is>
          <t>결과보고회 영상 촬영</t>
        </is>
      </c>
      <c r="B31" s="3" t="inlineStr">
        <is>
          <t>행사별 스케치 영상 촬영</t>
        </is>
      </c>
      <c r="C31" s="12" t="n">
        <v>606000</v>
      </c>
      <c r="D31" s="4" t="inlineStr">
        <is>
          <t>인</t>
        </is>
      </c>
      <c r="E31" s="4" t="n">
        <v>1</v>
      </c>
      <c r="F31" s="4" t="n">
        <v>2</v>
      </c>
      <c r="G31" s="12">
        <f>C31*E31*F31</f>
        <v/>
      </c>
    </row>
    <row r="32">
      <c r="A32" s="3" t="inlineStr">
        <is>
          <t>결과보고회 사진 촬영</t>
        </is>
      </c>
      <c r="B32" s="3" t="inlineStr">
        <is>
          <t>행사·단체사진</t>
        </is>
      </c>
      <c r="C32" s="12" t="n">
        <v>485000</v>
      </c>
      <c r="D32" s="4" t="inlineStr">
        <is>
          <t>인</t>
        </is>
      </c>
      <c r="E32" s="4" t="n">
        <v>1</v>
      </c>
      <c r="F32" s="4" t="n">
        <v>2</v>
      </c>
      <c r="G32" s="12">
        <f>C32*E32*F32</f>
        <v/>
      </c>
    </row>
    <row r="33">
      <c r="A33" s="3" t="inlineStr">
        <is>
          <t>결과보고회 스케치 영상 편집</t>
        </is>
      </c>
      <c r="B33" s="3" t="inlineStr">
        <is>
          <t>행사별 결과영상</t>
        </is>
      </c>
      <c r="C33" s="12" t="n">
        <v>849000</v>
      </c>
      <c r="D33" s="4" t="inlineStr">
        <is>
          <t>편</t>
        </is>
      </c>
      <c r="E33" s="4" t="n">
        <v>1</v>
      </c>
      <c r="F33" s="4" t="n">
        <v>2</v>
      </c>
      <c r="G33" s="12">
        <f>C33*E33*F33</f>
        <v/>
      </c>
    </row>
    <row r="34">
      <c r="A34" s="9" t="inlineStr">
        <is>
          <t>5. 행사 진행 및 운영</t>
        </is>
      </c>
      <c r="B34" s="10" t="n"/>
      <c r="C34" s="10" t="n"/>
      <c r="D34" s="10" t="n"/>
      <c r="E34" s="10" t="n"/>
      <c r="F34" s="10" t="n"/>
      <c r="G34" s="11">
        <f>SUM(G35:G37)</f>
        <v/>
      </c>
    </row>
    <row r="35">
      <c r="A35" s="3" t="inlineStr">
        <is>
          <t>현장 운영 보조</t>
        </is>
      </c>
      <c r="B35" s="3" t="inlineStr">
        <is>
          <t>행사보조·마이크 전달</t>
        </is>
      </c>
      <c r="C35" s="12" t="n">
        <v>243000</v>
      </c>
      <c r="D35" s="4" t="inlineStr">
        <is>
          <t>인</t>
        </is>
      </c>
      <c r="E35" s="4" t="n">
        <v>2</v>
      </c>
      <c r="F35" s="4" t="n">
        <v>2</v>
      </c>
      <c r="G35" s="12">
        <f>C35*E35*F35</f>
        <v/>
      </c>
    </row>
    <row r="36">
      <c r="A36" s="3" t="inlineStr">
        <is>
          <t>등록·접수 안내 인력</t>
        </is>
      </c>
      <c r="B36" s="3" t="inlineStr">
        <is>
          <t>참석자 등록·안내·수당서명 접수</t>
        </is>
      </c>
      <c r="C36" s="12" t="n">
        <v>200000</v>
      </c>
      <c r="D36" s="4" t="inlineStr">
        <is>
          <t>인</t>
        </is>
      </c>
      <c r="E36" s="4" t="n">
        <v>2</v>
      </c>
      <c r="F36" s="4" t="n">
        <v>2</v>
      </c>
      <c r="G36" s="12">
        <f>C36*E36*F36</f>
        <v/>
      </c>
    </row>
    <row r="37">
      <c r="A37" s="3" t="inlineStr">
        <is>
          <t>참석자 다과·생수</t>
        </is>
      </c>
      <c r="B37" s="3" t="inlineStr">
        <is>
          <t>사전 티타임 포함, 각 50명 기준</t>
        </is>
      </c>
      <c r="C37" s="12" t="n">
        <v>12000</v>
      </c>
      <c r="D37" s="4" t="inlineStr">
        <is>
          <t>명</t>
        </is>
      </c>
      <c r="E37" s="4" t="n">
        <v>50</v>
      </c>
      <c r="F37" s="4" t="n">
        <v>2</v>
      </c>
      <c r="G37" s="12">
        <f>C37*E37*F37</f>
        <v/>
      </c>
    </row>
    <row r="38">
      <c r="A38" s="9" t="inlineStr">
        <is>
          <t>6. 참가자 모집 및 관리</t>
        </is>
      </c>
      <c r="B38" s="10" t="n"/>
      <c r="C38" s="10" t="n"/>
      <c r="D38" s="10" t="n"/>
      <c r="E38" s="10" t="n"/>
      <c r="F38" s="10" t="n"/>
      <c r="G38" s="11">
        <f>SUM(G39:G41)</f>
        <v/>
      </c>
    </row>
    <row r="39">
      <c r="A39" s="3" t="inlineStr">
        <is>
          <t>참가자 모집·홍보</t>
        </is>
      </c>
      <c r="B39" s="3" t="inlineStr">
        <is>
          <t>홍보방안 수립·모집 안내·선발</t>
        </is>
      </c>
      <c r="C39" s="12" t="n">
        <v>600000</v>
      </c>
      <c r="D39" s="4" t="inlineStr">
        <is>
          <t>식</t>
        </is>
      </c>
      <c r="E39" s="4" t="n">
        <v>1</v>
      </c>
      <c r="F39" s="4" t="n">
        <v>2</v>
      </c>
      <c r="G39" s="12">
        <f>C39*E39*F39</f>
        <v/>
      </c>
    </row>
    <row r="40">
      <c r="A40" s="3" t="inlineStr">
        <is>
          <t>참가자 관리</t>
        </is>
      </c>
      <c r="B40" s="3" t="inlineStr">
        <is>
          <t>DB 관리·사전 안내(문자·유선)·참석 확인</t>
        </is>
      </c>
      <c r="C40" s="12" t="n">
        <v>300000</v>
      </c>
      <c r="D40" s="4" t="inlineStr">
        <is>
          <t>식</t>
        </is>
      </c>
      <c r="E40" s="4" t="n">
        <v>1</v>
      </c>
      <c r="F40" s="4" t="n">
        <v>2</v>
      </c>
      <c r="G40" s="12">
        <f>C40*E40*F40</f>
        <v/>
      </c>
    </row>
    <row r="41">
      <c r="A41" s="3" t="inlineStr">
        <is>
          <t>수당지급 서류 취합·제출</t>
        </is>
      </c>
      <c r="B41" s="3" t="inlineStr">
        <is>
          <t>수당지급명세서 작성·재단 제출</t>
        </is>
      </c>
      <c r="C41" s="12" t="n">
        <v>300000</v>
      </c>
      <c r="D41" s="4" t="inlineStr">
        <is>
          <t>식</t>
        </is>
      </c>
      <c r="E41" s="4" t="n">
        <v>1</v>
      </c>
      <c r="F41" s="4" t="n">
        <v>2</v>
      </c>
      <c r="G41" s="12">
        <f>C41*E41*F41</f>
        <v/>
      </c>
    </row>
    <row r="42">
      <c r="A42" s="9" t="inlineStr">
        <is>
          <t>7. 출장 및 운송</t>
        </is>
      </c>
      <c r="B42" s="10" t="n"/>
      <c r="C42" s="10" t="n"/>
      <c r="D42" s="10" t="n"/>
      <c r="E42" s="10" t="n"/>
      <c r="F42" s="10" t="n"/>
      <c r="G42" s="11">
        <f>SUM(G43:G44)</f>
        <v/>
      </c>
    </row>
    <row r="43">
      <c r="A43" s="3" t="inlineStr">
        <is>
          <t>출장·운송·숙박(제작·기술 인력)</t>
        </is>
      </c>
      <c r="B43" s="3" t="inlineStr">
        <is>
          <t>장비·제작물 운송, 2회 합산</t>
        </is>
      </c>
      <c r="C43" s="12" t="n">
        <v>1590000</v>
      </c>
      <c r="D43" s="4" t="inlineStr">
        <is>
          <t>식</t>
        </is>
      </c>
      <c r="E43" s="4" t="n">
        <v>1</v>
      </c>
      <c r="F43" s="4" t="n">
        <v>1</v>
      </c>
      <c r="G43" s="12">
        <f>C43*E43*F43</f>
        <v/>
      </c>
    </row>
    <row r="44">
      <c r="A44" s="3" t="inlineStr">
        <is>
          <t>출장비(운영 인력)</t>
        </is>
      </c>
      <c r="B44" s="3" t="inlineStr">
        <is>
          <t>부산·대전 교통·숙박, 2회 합산</t>
        </is>
      </c>
      <c r="C44" s="12" t="n">
        <v>800000</v>
      </c>
      <c r="D44" s="4" t="inlineStr">
        <is>
          <t>식</t>
        </is>
      </c>
      <c r="E44" s="4" t="n">
        <v>1</v>
      </c>
      <c r="F44" s="4" t="n">
        <v>1</v>
      </c>
      <c r="G44" s="12">
        <f>C44*E44*F44</f>
        <v/>
      </c>
    </row>
    <row r="45">
      <c r="A45" s="13" t="inlineStr">
        <is>
          <t>직접비 소계</t>
        </is>
      </c>
      <c r="B45" s="4" t="n"/>
      <c r="C45" s="4" t="n"/>
      <c r="D45" s="4" t="n"/>
      <c r="E45" s="4" t="n"/>
      <c r="F45" s="4" t="n"/>
      <c r="G45" s="14">
        <f>G12+G16+G23+G29+G34+G38+G42</f>
        <v/>
      </c>
    </row>
    <row r="46">
      <c r="A46" s="4" t="inlineStr">
        <is>
          <t>일반관리비 (직접비 × 5%)</t>
        </is>
      </c>
      <c r="B46" s="4" t="n"/>
      <c r="C46" s="4" t="n"/>
      <c r="D46" s="4" t="n"/>
      <c r="E46" s="4" t="n"/>
      <c r="F46" s="4" t="n"/>
      <c r="G46" s="12">
        <f>ROUND(G45*5%,0)</f>
        <v/>
      </c>
    </row>
    <row r="47">
      <c r="A47" s="4" t="inlineStr">
        <is>
          <t>기업이윤 ((직접비+일반관리비) × 5%)</t>
        </is>
      </c>
      <c r="B47" s="4" t="n"/>
      <c r="C47" s="4" t="n"/>
      <c r="D47" s="4" t="n"/>
      <c r="E47" s="4" t="n"/>
      <c r="F47" s="4" t="n"/>
      <c r="G47" s="12">
        <f>ROUND((G45+G46)*5%,0)</f>
        <v/>
      </c>
    </row>
    <row r="48">
      <c r="A48" s="4" t="inlineStr">
        <is>
          <t>단수조정 (공급가액 만원 미만 절사)</t>
        </is>
      </c>
      <c r="B48" s="4" t="n"/>
      <c r="C48" s="4" t="n"/>
      <c r="D48" s="4" t="n"/>
      <c r="E48" s="4" t="n"/>
      <c r="F48" s="4" t="n"/>
      <c r="G48" s="12">
        <f>ROUNDDOWN(G45+G46+G47,-4)-(G45+G46+G47)</f>
        <v/>
      </c>
    </row>
    <row r="49">
      <c r="A49" s="13" t="inlineStr">
        <is>
          <t>공급가액</t>
        </is>
      </c>
      <c r="B49" s="4" t="n"/>
      <c r="C49" s="4" t="n"/>
      <c r="D49" s="4" t="n"/>
      <c r="E49" s="4" t="n"/>
      <c r="F49" s="4" t="n"/>
      <c r="G49" s="14">
        <f>G45+G46+G47+G48</f>
        <v/>
      </c>
    </row>
    <row r="50">
      <c r="A50" s="4" t="inlineStr">
        <is>
          <t>부가가치세 (공급가액 × 10%)</t>
        </is>
      </c>
      <c r="B50" s="4" t="n"/>
      <c r="C50" s="4" t="n"/>
      <c r="D50" s="4" t="n"/>
      <c r="E50" s="4" t="n"/>
      <c r="F50" s="4" t="n"/>
      <c r="G50" s="12">
        <f>ROUND(G49*10%,0)</f>
        <v/>
      </c>
    </row>
    <row r="51">
      <c r="A51" s="15" t="inlineStr">
        <is>
          <t>합계 (부가가치세 포함)</t>
        </is>
      </c>
      <c r="B51" s="6" t="n"/>
      <c r="C51" s="6" t="n"/>
      <c r="D51" s="6" t="n"/>
      <c r="E51" s="6" t="n"/>
      <c r="F51" s="6" t="n"/>
      <c r="G51" s="16">
        <f>G49+G50</f>
        <v/>
      </c>
    </row>
    <row r="53">
      <c r="A53" s="17" t="inlineStr">
        <is>
          <t>※ 비고</t>
        </is>
      </c>
    </row>
    <row r="54">
      <c r="A54" s="18" t="inlineStr">
        <is>
          <t>1. 행사장 대관료는 부산·대전 각 예산액 기준이며, 장소 확정 후 실제 임차료로 정산합니다. (재단 직접 계약 시 해당 금액 제외)</t>
        </is>
      </c>
    </row>
    <row r="55">
      <c r="A55" s="18" t="inlineStr">
        <is>
          <t>2. 참가자 사례비(참석수당)는 재단 부담으로 본 견적에서 제외하며, 수당지급명세서 취합·제출 업무는 포함합니다.</t>
        </is>
      </c>
    </row>
    <row r="56">
      <c r="A56" s="18" t="inlineStr">
        <is>
          <t>3. 전문사회자, 식사, 온라인 생중계, 시설 기본장비 외 추가 장비 임차는 제외(필요 시 별도 협의)입니다.</t>
        </is>
      </c>
    </row>
    <row r="57">
      <c r="A57" s="18" t="inlineStr">
        <is>
          <t>4. 인쇄물·자료집 수량 및 규격은 착수회의 시 확정하며, 변동 시 협의 후 조정합니다.</t>
        </is>
      </c>
    </row>
    <row r="58">
      <c r="A58" s="18" t="inlineStr">
        <is>
          <t>5. 행사 일정·장소 변경 등 재단 요청사항 발생 시 상호 협의하여 조정합니다.</t>
        </is>
      </c>
    </row>
  </sheetData>
  <mergeCells count="38">
    <mergeCell ref="F4:G4"/>
    <mergeCell ref="A16:F16"/>
    <mergeCell ref="A46:F46"/>
    <mergeCell ref="B7:C7"/>
    <mergeCell ref="B3:C3"/>
    <mergeCell ref="A53:G53"/>
    <mergeCell ref="F6:G6"/>
    <mergeCell ref="A12:F12"/>
    <mergeCell ref="A50:F50"/>
    <mergeCell ref="F7:G7"/>
    <mergeCell ref="F3:G3"/>
    <mergeCell ref="D6:E6"/>
    <mergeCell ref="A47:F47"/>
    <mergeCell ref="A42:F42"/>
    <mergeCell ref="A58:G58"/>
    <mergeCell ref="F5:G5"/>
    <mergeCell ref="A23:F23"/>
    <mergeCell ref="A57:G57"/>
    <mergeCell ref="C9:G9"/>
    <mergeCell ref="A29:F29"/>
    <mergeCell ref="A38:F38"/>
    <mergeCell ref="A1:G1"/>
    <mergeCell ref="D7:E7"/>
    <mergeCell ref="A54:G54"/>
    <mergeCell ref="D4:E4"/>
    <mergeCell ref="A34:F34"/>
    <mergeCell ref="A48:F48"/>
    <mergeCell ref="D3:E3"/>
    <mergeCell ref="B6:C6"/>
    <mergeCell ref="A49:F49"/>
    <mergeCell ref="A51:F51"/>
    <mergeCell ref="A56:G56"/>
    <mergeCell ref="B5:C5"/>
    <mergeCell ref="A45:F45"/>
    <mergeCell ref="A55:G55"/>
    <mergeCell ref="D5:E5"/>
    <mergeCell ref="A9:B9"/>
    <mergeCell ref="B4:C4"/>
  </mergeCells>
  <printOptions horizontalCentered="1"/>
  <pageMargins left="0.4" right="0.4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2026-10-19T07:01:39Z</dcterms:created>
  <dcterms:modified xmlns:dcterms="http://purl.org/dc/terms/" xmlns:xsi="http://www.w3.org/2001/XMLSchema-instance" xsi:type="dcterms:W3CDTF">2026-10-19T07:01:39Z</dcterms:modified>
</cp:coreProperties>
</file>