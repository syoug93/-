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·범례" sheetId="1" state="visible" r:id="rId3"/>
    <sheet name="공통_준비운영" sheetId="2" state="visible" r:id="rId4"/>
    <sheet name="G1_큐시트" sheetId="3" state="visible" r:id="rId5"/>
    <sheet name="G2_큐시트" sheetId="4" state="visible" r:id="rId6"/>
    <sheet name="G3_큐시트" sheetId="5" state="visible" r:id="rId7"/>
    <sheet name="G4_큐시트" sheetId="6" state="visible" r:id="rId8"/>
    <sheet name="공유용_요약" sheetId="7" state="visible" r:id="rId9"/>
  </sheets>
  <definedNames>
    <definedName function="false" hidden="false" localSheetId="2" name="_xlnm.Print_Area" vbProcedure="false">G1_큐시트!$A$1:$K$99</definedName>
    <definedName function="false" hidden="false" localSheetId="2" name="_xlnm.Print_Titles" vbProcedure="false">G1_큐시트!$8:$8</definedName>
    <definedName function="false" hidden="false" localSheetId="3" name="_xlnm.Print_Area" vbProcedure="false">G2_큐시트!$A$1:$K$80</definedName>
    <definedName function="false" hidden="false" localSheetId="3" name="_xlnm.Print_Titles" vbProcedure="false">G2_큐시트!$8:$8</definedName>
    <definedName function="false" hidden="false" localSheetId="4" name="_xlnm.Print_Area" vbProcedure="false">G3_큐시트!$A$1:$K$78</definedName>
    <definedName function="false" hidden="false" localSheetId="4" name="_xlnm.Print_Titles" vbProcedure="false">G3_큐시트!$8:$8</definedName>
    <definedName function="false" hidden="false" localSheetId="5" name="_xlnm.Print_Area" vbProcedure="false">G4_큐시트!$A$1:$K$71</definedName>
    <definedName function="false" hidden="false" localSheetId="5" name="_xlnm.Print_Titles" vbProcedure="false">G4_큐시트!$8:$8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입력 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실제 시작이 늦어지면 여기만 바꾸면 아래 모든 시각이 다시 계산된다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입력 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실제 시작이 늦어지면 여기만 바꾸면 아래 모든 시각이 다시 계산된다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입력 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실제 시작이 늦어지면 여기만 바꾸면 아래 모든 시각이 다시 계산된다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입력 셀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실제 시작이 늦어지면 여기만 바꾸면 아래 모든 시각이 다시 계산된다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<sst xmlns="http://schemas.openxmlformats.org/spreadsheetml/2006/main" count="1444" uniqueCount="480">
  <si>
    <r>
      <rPr>
        <b val="true"/>
        <sz val="14"/>
        <rFont val="맑은 고딕"/>
        <family val="0"/>
        <charset val="1"/>
      </rPr>
      <t xml:space="preserve">2026 </t>
    </r>
    <r>
      <rPr>
        <b val="true"/>
        <sz val="14"/>
        <rFont val="WenQuanYi Zen Hei"/>
        <family val="2"/>
      </rPr>
      <t xml:space="preserve">스포츠안전재단 손해구제 서비스 </t>
    </r>
    <r>
      <rPr>
        <b val="true"/>
        <sz val="14"/>
        <rFont val="맑은 고딕"/>
        <family val="0"/>
        <charset val="1"/>
      </rPr>
      <t xml:space="preserve">FGI </t>
    </r>
    <r>
      <rPr>
        <b val="true"/>
        <sz val="14"/>
        <rFont val="WenQuanYi Zen Hei"/>
        <family val="2"/>
      </rPr>
      <t xml:space="preserve">큐시트 </t>
    </r>
    <r>
      <rPr>
        <b val="true"/>
        <sz val="14"/>
        <rFont val="맑은 고딕"/>
        <family val="0"/>
        <charset val="1"/>
      </rPr>
      <t xml:space="preserve">v1.0</t>
    </r>
  </si>
  <si>
    <r>
      <rPr>
        <i val="true"/>
        <sz val="9"/>
        <color rgb="FF595959"/>
        <rFont val="WenQuanYi Zen Hei"/>
        <family val="2"/>
      </rPr>
      <t xml:space="preserve">코리아스픽스 숙의공론컨설팅본부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작성 </t>
    </r>
    <r>
      <rPr>
        <i val="true"/>
        <sz val="9"/>
        <color rgb="FF595959"/>
        <rFont val="맑은 고딕"/>
        <family val="0"/>
        <charset val="1"/>
      </rPr>
      <t xml:space="preserve">2026-09-06 · </t>
    </r>
    <r>
      <rPr>
        <i val="true"/>
        <sz val="9"/>
        <color rgb="FF595959"/>
        <rFont val="WenQuanYi Zen Hei"/>
        <family val="2"/>
      </rPr>
      <t xml:space="preserve">근거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실행계획안 및 진행 시나리오 </t>
    </r>
    <r>
      <rPr>
        <i val="true"/>
        <sz val="9"/>
        <color rgb="FF595959"/>
        <rFont val="맑은 고딕"/>
        <family val="0"/>
        <charset val="1"/>
      </rPr>
      <t xml:space="preserve">v0.9.1, </t>
    </r>
    <r>
      <rPr>
        <i val="true"/>
        <sz val="9"/>
        <color rgb="FF595959"/>
        <rFont val="WenQuanYi Zen Hei"/>
        <family val="2"/>
      </rPr>
      <t xml:space="preserve">회차별 현장 기록 문서 </t>
    </r>
    <r>
      <rPr>
        <i val="true"/>
        <sz val="9"/>
        <color rgb="FF595959"/>
        <rFont val="맑은 고딕"/>
        <family val="0"/>
        <charset val="1"/>
      </rPr>
      <t xml:space="preserve">v0.7</t>
    </r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</si>
  <si>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회차 일정</t>
    </r>
  </si>
  <si>
    <t xml:space="preserve">그룹</t>
  </si>
  <si>
    <t xml:space="preserve">일시</t>
  </si>
  <si>
    <t xml:space="preserve">장소</t>
  </si>
  <si>
    <t xml:space="preserve">대상</t>
  </si>
  <si>
    <t xml:space="preserve">큐시트 시트</t>
  </si>
  <si>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1 · </t>
    </r>
    <r>
      <rPr>
        <sz val="10"/>
        <rFont val="WenQuanYi Zen Hei"/>
        <family val="2"/>
      </rPr>
      <t xml:space="preserve">사업 이용 고객</t>
    </r>
  </si>
  <si>
    <r>
      <rPr>
        <sz val="10"/>
        <rFont val="맑은 고딕"/>
        <family val="0"/>
        <charset val="1"/>
      </rPr>
      <t xml:space="preserve">2026-09-07(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 14:00~16:00</t>
    </r>
  </si>
  <si>
    <r>
      <rPr>
        <sz val="10"/>
        <rFont val="WenQuanYi Zen Hei"/>
        <family val="2"/>
      </rPr>
      <t xml:space="preserve">패스트파이브 서울역점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서울 용산구 동자동 </t>
    </r>
    <r>
      <rPr>
        <sz val="10"/>
        <rFont val="맑은 고딕"/>
        <family val="0"/>
        <charset val="1"/>
      </rPr>
      <t xml:space="preserve">56 </t>
    </r>
    <r>
      <rPr>
        <sz val="10"/>
        <rFont val="WenQuanYi Zen Hei"/>
        <family val="2"/>
      </rPr>
      <t xml:space="preserve">트윈시티 남산</t>
    </r>
    <r>
      <rPr>
        <sz val="10"/>
        <rFont val="맑은 고딕"/>
        <family val="0"/>
        <charset val="1"/>
      </rPr>
      <t xml:space="preserve">2)</t>
    </r>
  </si>
  <si>
    <r>
      <rPr>
        <sz val="10"/>
        <rFont val="WenQuanYi Zen Hei"/>
        <family val="2"/>
      </rPr>
      <t xml:space="preserve">민간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공공 체육단체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체육시설 관리자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선수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동호인 </t>
    </r>
    <r>
      <rPr>
        <sz val="10"/>
        <rFont val="맑은 고딕"/>
        <family val="0"/>
        <charset val="1"/>
      </rPr>
      <t xml:space="preserve">(6~7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, 2025</t>
    </r>
    <r>
      <rPr>
        <sz val="10"/>
        <rFont val="WenQuanYi Zen Hei"/>
        <family val="2"/>
      </rPr>
      <t xml:space="preserve">년 서비스 가입자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</si>
  <si>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G1_</t>
    </r>
    <r>
      <rPr>
        <sz val="10"/>
        <rFont val="WenQuanYi Zen Hei"/>
        <family val="2"/>
      </rPr>
      <t xml:space="preserve">큐시트</t>
    </r>
  </si>
  <si>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2 · </t>
    </r>
    <r>
      <rPr>
        <sz val="10"/>
        <rFont val="WenQuanYi Zen Hei"/>
        <family val="2"/>
      </rPr>
      <t xml:space="preserve">사업협력 단체</t>
    </r>
  </si>
  <si>
    <r>
      <rPr>
        <sz val="10"/>
        <rFont val="맑은 고딕"/>
        <family val="0"/>
        <charset val="1"/>
      </rPr>
      <t xml:space="preserve">2026-09-08(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 14:00~16:00</t>
    </r>
  </si>
  <si>
    <r>
      <rPr>
        <sz val="10"/>
        <rFont val="WenQuanYi Zen Hei"/>
        <family val="2"/>
      </rPr>
      <t xml:space="preserve">스포츠안전재단 교육장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서울 송파구 올림픽로 </t>
    </r>
    <r>
      <rPr>
        <sz val="10"/>
        <rFont val="맑은 고딕"/>
        <family val="0"/>
        <charset val="1"/>
      </rPr>
      <t xml:space="preserve">424, </t>
    </r>
    <r>
      <rPr>
        <sz val="10"/>
        <rFont val="WenQuanYi Zen Hei"/>
        <family val="2"/>
      </rPr>
      <t xml:space="preserve">올림픽공원 테니스경기장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</si>
  <si>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대한체육회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시도체육회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종목단체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대학스포츠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장애인체육 등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현장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서면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</si>
  <si>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G2_</t>
    </r>
    <r>
      <rPr>
        <sz val="10"/>
        <rFont val="WenQuanYi Zen Hei"/>
        <family val="2"/>
      </rPr>
      <t xml:space="preserve">큐시트</t>
    </r>
  </si>
  <si>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3 · </t>
    </r>
    <r>
      <rPr>
        <sz val="10"/>
        <rFont val="WenQuanYi Zen Hei"/>
        <family val="2"/>
      </rPr>
      <t xml:space="preserve">손해구제 전문가</t>
    </r>
  </si>
  <si>
    <r>
      <rPr>
        <sz val="10"/>
        <rFont val="맑은 고딕"/>
        <family val="0"/>
        <charset val="1"/>
      </rPr>
      <t xml:space="preserve">2026-09-15(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 14:00~16:00</t>
    </r>
  </si>
  <si>
    <r>
      <rPr>
        <sz val="10"/>
        <rFont val="WenQuanYi Zen Hei"/>
        <family val="2"/>
      </rPr>
      <t xml:space="preserve">패스트파이브 삼성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호점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서울 강남구 테헤란로</t>
    </r>
    <r>
      <rPr>
        <sz val="10"/>
        <rFont val="맑은 고딕"/>
        <family val="0"/>
        <charset val="1"/>
      </rPr>
      <t xml:space="preserve">87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36 City Airport Tower 24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</si>
  <si>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공제사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손해보험사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브로커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손해사정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현장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서면 </t>
    </r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</si>
  <si>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G3_</t>
    </r>
    <r>
      <rPr>
        <sz val="10"/>
        <rFont val="WenQuanYi Zen Hei"/>
        <family val="2"/>
      </rPr>
      <t xml:space="preserve">큐시트</t>
    </r>
  </si>
  <si>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4 · </t>
    </r>
    <r>
      <rPr>
        <sz val="10"/>
        <rFont val="WenQuanYi Zen Hei"/>
        <family val="2"/>
      </rPr>
      <t xml:space="preserve">재단 내부 관계자</t>
    </r>
  </si>
  <si>
    <r>
      <rPr>
        <sz val="10"/>
        <rFont val="맑은 고딕"/>
        <family val="0"/>
        <charset val="1"/>
      </rPr>
      <t xml:space="preserve">2026-09-17(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) 14:00~16:00</t>
    </r>
  </si>
  <si>
    <r>
      <rPr>
        <sz val="10"/>
        <rFont val="WenQuanYi Zen Hei"/>
        <family val="2"/>
      </rPr>
      <t xml:space="preserve">재단 임직원 — 보임자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실무자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안전공제실 등 관련 부서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개인 명단 미정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</si>
  <si>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G4_</t>
    </r>
    <r>
      <rPr>
        <sz val="10"/>
        <rFont val="WenQuanYi Zen Hei"/>
        <family val="2"/>
      </rPr>
      <t xml:space="preserve">큐시트</t>
    </r>
  </si>
  <si>
    <r>
      <rPr>
        <b val="true"/>
        <sz val="11"/>
        <rFont val="맑은 고딕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시트 구성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큐시트 </t>
    </r>
    <r>
      <rPr>
        <b val="true"/>
        <sz val="11"/>
        <rFont val="맑은 고딕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종</t>
    </r>
    <r>
      <rPr>
        <b val="true"/>
        <sz val="11"/>
        <rFont val="맑은 고딕"/>
        <family val="0"/>
        <charset val="1"/>
      </rPr>
      <t xml:space="preserve">)</t>
    </r>
  </si>
  <si>
    <t xml:space="preserve">시트</t>
  </si>
  <si>
    <t xml:space="preserve">용도</t>
  </si>
  <si>
    <t xml:space="preserve">보는 사람</t>
  </si>
  <si>
    <t xml:space="preserve">비고</t>
  </si>
  <si>
    <r>
      <rPr>
        <sz val="10"/>
        <rFont val="WenQuanYi Zen Hei"/>
        <family val="2"/>
      </rPr>
      <t xml:space="preserve">공통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준비운영</t>
    </r>
  </si>
  <si>
    <r>
      <rPr>
        <sz val="10"/>
        <rFont val="맑은 고딕"/>
        <family val="0"/>
        <charset val="1"/>
      </rPr>
      <t xml:space="preserve">D-3 · D-1 </t>
    </r>
    <r>
      <rPr>
        <sz val="10"/>
        <rFont val="WenQuanYi Zen Hei"/>
        <family val="2"/>
      </rPr>
      <t xml:space="preserve">체크리스트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회차별 날짜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사후 일정</t>
    </r>
  </si>
  <si>
    <r>
      <rPr>
        <sz val="10"/>
        <rFont val="맑은 고딕"/>
        <family val="0"/>
        <charset val="1"/>
      </rPr>
      <t xml:space="preserve">PM · </t>
    </r>
    <r>
      <rPr>
        <sz val="10"/>
        <rFont val="WenQuanYi Zen Hei"/>
        <family val="2"/>
      </rPr>
      <t xml:space="preserve">스탭 전원</t>
    </r>
  </si>
  <si>
    <t xml:space="preserve">회차마다 반복 사용</t>
  </si>
  <si>
    <r>
      <rPr>
        <sz val="10"/>
        <rFont val="맑은 고딕"/>
        <family val="0"/>
        <charset val="1"/>
      </rPr>
      <t xml:space="preserve">G1~G4_</t>
    </r>
    <r>
      <rPr>
        <sz val="10"/>
        <rFont val="WenQuanYi Zen Hei"/>
        <family val="2"/>
      </rPr>
      <t xml:space="preserve">큐시트</t>
    </r>
  </si>
  <si>
    <r>
      <rPr>
        <sz val="10"/>
        <rFont val="WenQuanYi Zen Hei"/>
        <family val="2"/>
      </rPr>
      <t xml:space="preserve">내부용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모더레이터용 겸용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당일 준비</t>
    </r>
    <r>
      <rPr>
        <sz val="10"/>
        <rFont val="맑은 고딕"/>
        <family val="0"/>
        <charset val="1"/>
      </rPr>
      <t xml:space="preserve">(T-180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~) → </t>
    </r>
    <r>
      <rPr>
        <sz val="10"/>
        <rFont val="WenQuanYi Zen Hei"/>
        <family val="2"/>
      </rPr>
      <t xml:space="preserve">도입 → 파트별 질문 원문 → 마무리 → 종료 후</t>
    </r>
  </si>
  <si>
    <r>
      <rPr>
        <sz val="10"/>
        <rFont val="WenQuanYi Zen Hei"/>
        <family val="2"/>
      </rPr>
      <t xml:space="preserve">모더레이터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스크립터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오거나이저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등록관리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기술</t>
    </r>
  </si>
  <si>
    <r>
      <rPr>
        <sz val="10"/>
        <rFont val="WenQuanYi Zen Hei"/>
        <family val="2"/>
      </rPr>
      <t xml:space="preserve">모더레이터는 </t>
    </r>
    <r>
      <rPr>
        <sz val="10"/>
        <rFont val="맑은 고딕"/>
        <family val="0"/>
        <charset val="1"/>
      </rPr>
      <t xml:space="preserve">G~I</t>
    </r>
    <r>
      <rPr>
        <sz val="10"/>
        <rFont val="WenQuanYi Zen Hei"/>
        <family val="2"/>
      </rPr>
      <t xml:space="preserve">열만 보면 된다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스탭은 </t>
    </r>
    <r>
      <rPr>
        <sz val="10"/>
        <rFont val="맑은 고딕"/>
        <family val="0"/>
        <charset val="1"/>
      </rPr>
      <t xml:space="preserve">J</t>
    </r>
    <r>
      <rPr>
        <sz val="10"/>
        <rFont val="WenQuanYi Zen Hei"/>
        <family val="2"/>
      </rPr>
      <t xml:space="preserve">열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</si>
  <si>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공유용</t>
    </r>
    <r>
      <rPr>
        <sz val="10"/>
        <rFont val="맑은 고딕"/>
        <family val="0"/>
        <charset val="1"/>
      </rPr>
      <t xml:space="preserve">_</t>
    </r>
    <r>
      <rPr>
        <sz val="10"/>
        <rFont val="WenQuanYi Zen Hei"/>
        <family val="2"/>
      </rPr>
      <t xml:space="preserve">요약</t>
    </r>
  </si>
  <si>
    <t xml:space="preserve">회차별 파트 시각표만 담은 대외용</t>
  </si>
  <si>
    <r>
      <rPr>
        <sz val="10"/>
        <rFont val="WenQuanYi Zen Hei"/>
        <family val="2"/>
      </rPr>
      <t xml:space="preserve">재단 담당자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참관자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시그널앤펄스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</si>
  <si>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질문 원문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연락처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그대로 공유 가능</t>
    </r>
  </si>
  <si>
    <r>
      <rPr>
        <b val="true"/>
        <sz val="11"/>
        <rFont val="맑은 고딕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사용법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WenQuanYi Zen Hei"/>
        <family val="2"/>
      </rPr>
      <t xml:space="preserve">범례</t>
    </r>
  </si>
  <si>
    <r>
      <rPr>
        <b val="true"/>
        <sz val="10"/>
        <color rgb="FF0000FF"/>
        <rFont val="WenQuanYi Zen Hei"/>
        <family val="2"/>
      </rPr>
      <t xml:space="preserve">입력 셀 </t>
    </r>
    <r>
      <rPr>
        <b val="true"/>
        <sz val="10"/>
        <color rgb="FF0000FF"/>
        <rFont val="맑은 고딕"/>
        <family val="0"/>
        <charset val="1"/>
      </rPr>
      <t xml:space="preserve">(</t>
    </r>
    <r>
      <rPr>
        <b val="true"/>
        <sz val="10"/>
        <color rgb="FF0000FF"/>
        <rFont val="WenQuanYi Zen Hei"/>
        <family val="2"/>
      </rPr>
      <t xml:space="preserve">노란 바탕</t>
    </r>
    <r>
      <rPr>
        <b val="true"/>
        <sz val="10"/>
        <color rgb="FF0000FF"/>
        <rFont val="맑은 고딕"/>
        <family val="0"/>
        <charset val="1"/>
      </rPr>
      <t xml:space="preserve">·</t>
    </r>
    <r>
      <rPr>
        <b val="true"/>
        <sz val="10"/>
        <color rgb="FF0000FF"/>
        <rFont val="WenQuanYi Zen Hei"/>
        <family val="2"/>
      </rPr>
      <t xml:space="preserve">파란 글씨</t>
    </r>
    <r>
      <rPr>
        <b val="true"/>
        <sz val="10"/>
        <color rgb="FF0000FF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</si>
  <si>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각 회차 시트 </t>
    </r>
    <r>
      <rPr>
        <sz val="10"/>
        <rFont val="맑은 고딕"/>
        <family val="0"/>
        <charset val="1"/>
      </rPr>
      <t xml:space="preserve">C4 ‘</t>
    </r>
    <r>
      <rPr>
        <sz val="10"/>
        <rFont val="WenQuanYi Zen Hei"/>
        <family val="2"/>
      </rPr>
      <t xml:space="preserve">시작 시각’과 파트 헤더의 소요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나머지 시각은 수식으로 자동 계산된다</t>
    </r>
    <r>
      <rPr>
        <sz val="10"/>
        <rFont val="맑은 고딕"/>
        <family val="0"/>
        <charset val="1"/>
      </rPr>
      <t xml:space="preserve">.</t>
    </r>
  </si>
  <si>
    <t xml:space="preserve">회색 행</t>
  </si>
  <si>
    <r>
      <rPr>
        <sz val="10"/>
        <rFont val="WenQuanYi Zen Hei"/>
        <family val="2"/>
      </rPr>
      <t xml:space="preserve">당일 준비 </t>
    </r>
    <r>
      <rPr>
        <sz val="10"/>
        <rFont val="맑은 고딕"/>
        <family val="0"/>
        <charset val="1"/>
      </rPr>
      <t xml:space="preserve">(T-180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~ T=0). </t>
    </r>
    <r>
      <rPr>
        <sz val="10"/>
        <rFont val="WenQuanYi Zen Hei"/>
        <family val="2"/>
      </rPr>
      <t xml:space="preserve">시작 시각 기준 역산</t>
    </r>
    <r>
      <rPr>
        <sz val="10"/>
        <rFont val="맑은 고딕"/>
        <family val="0"/>
        <charset val="1"/>
      </rPr>
      <t xml:space="preserve">.</t>
    </r>
  </si>
  <si>
    <t xml:space="preserve">파란 굵은 행</t>
  </si>
  <si>
    <r>
      <rPr>
        <sz val="10"/>
        <rFont val="WenQuanYi Zen Hei"/>
        <family val="2"/>
      </rPr>
      <t xml:space="preserve">파트 헤더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시작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종료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소요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스크립터가 </t>
    </r>
    <r>
      <rPr>
        <sz val="10"/>
        <rFont val="맑은 고딕"/>
        <family val="0"/>
        <charset val="1"/>
      </rPr>
      <t xml:space="preserve">K</t>
    </r>
    <r>
      <rPr>
        <sz val="10"/>
        <rFont val="WenQuanYi Zen Hei"/>
        <family val="2"/>
      </rPr>
      <t xml:space="preserve">열에 실제 시작 시각을 적는다</t>
    </r>
    <r>
      <rPr>
        <sz val="10"/>
        <rFont val="맑은 고딕"/>
        <family val="0"/>
        <charset val="1"/>
      </rPr>
      <t xml:space="preserve">.</t>
    </r>
  </si>
  <si>
    <t xml:space="preserve">하늘색 행</t>
  </si>
  <si>
    <r>
      <rPr>
        <sz val="10"/>
        <rFont val="WenQuanYi Zen Hei"/>
        <family val="2"/>
      </rPr>
      <t xml:space="preserve">송출 — 기술 스탭이 인터뷰룸 모니터를 전환하는 시점</t>
    </r>
    <r>
      <rPr>
        <sz val="10"/>
        <rFont val="맑은 고딕"/>
        <family val="0"/>
        <charset val="1"/>
      </rPr>
      <t xml:space="preserve">.</t>
    </r>
  </si>
  <si>
    <t xml:space="preserve">노란 행</t>
  </si>
  <si>
    <r>
      <rPr>
        <sz val="10"/>
        <rFont val="WenQuanYi Zen Hei"/>
        <family val="2"/>
      </rPr>
      <t xml:space="preserve">거수 — 오거나이저가 인원 수를 기록한다</t>
    </r>
    <r>
      <rPr>
        <sz val="10"/>
        <rFont val="맑은 고딕"/>
        <family val="0"/>
        <charset val="1"/>
      </rPr>
      <t xml:space="preserve">.</t>
    </r>
  </si>
  <si>
    <t xml:space="preserve">연두 행</t>
  </si>
  <si>
    <r>
      <rPr>
        <sz val="10"/>
        <rFont val="WenQuanYi Zen Hei"/>
        <family val="2"/>
      </rPr>
      <t xml:space="preserve">평가지 — 등록 관리가 배부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회수한다</t>
    </r>
    <r>
      <rPr>
        <sz val="10"/>
        <rFont val="맑은 고딕"/>
        <family val="0"/>
        <charset val="1"/>
      </rPr>
      <t xml:space="preserve">.</t>
    </r>
  </si>
  <si>
    <t xml:space="preserve">주황 행</t>
  </si>
  <si>
    <r>
      <rPr>
        <sz val="10"/>
        <rFont val="WenQuanYi Zen Hei"/>
        <family val="2"/>
      </rPr>
      <t xml:space="preserve">종료 후 — 파일 저장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답례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종료 직후 정리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철수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</si>
  <si>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운영 인력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회차당 </t>
    </r>
    <r>
      <rPr>
        <b val="true"/>
        <sz val="11"/>
        <rFont val="맑은 고딕"/>
        <family val="0"/>
        <charset val="1"/>
      </rPr>
      <t xml:space="preserve">6</t>
    </r>
    <r>
      <rPr>
        <b val="true"/>
        <sz val="11"/>
        <rFont val="WenQuanYi Zen Hei"/>
        <family val="2"/>
      </rPr>
      <t xml:space="preserve">인</t>
    </r>
    <r>
      <rPr>
        <b val="true"/>
        <sz val="11"/>
        <rFont val="맑은 고딕"/>
        <family val="0"/>
        <charset val="1"/>
      </rPr>
      <t xml:space="preserve">)</t>
    </r>
  </si>
  <si>
    <t xml:space="preserve">역할</t>
  </si>
  <si>
    <t xml:space="preserve">성명</t>
  </si>
  <si>
    <t xml:space="preserve">휴대전화</t>
  </si>
  <si>
    <t xml:space="preserve">담당 업무</t>
  </si>
  <si>
    <r>
      <rPr>
        <sz val="10"/>
        <rFont val="맑은 고딕"/>
        <family val="0"/>
        <charset val="1"/>
      </rPr>
      <t xml:space="preserve">PM · </t>
    </r>
    <r>
      <rPr>
        <sz val="10"/>
        <rFont val="WenQuanYi Zen Hei"/>
        <family val="2"/>
      </rPr>
      <t xml:space="preserve">총괄</t>
    </r>
  </si>
  <si>
    <t xml:space="preserve">이소연 차장</t>
  </si>
  <si>
    <r>
      <rPr>
        <sz val="10"/>
        <rFont val="WenQuanYi Zen Hei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품질 총괄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안전 대책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종료 직후 정리 주관</t>
    </r>
  </si>
  <si>
    <t xml:space="preserve">모더레이터</t>
  </si>
  <si>
    <r>
      <rPr>
        <sz val="10"/>
        <rFont val="WenQuanYi Zen Hei"/>
        <family val="2"/>
      </rPr>
      <t xml:space="preserve">인터뷰룸 진행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질문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송출 시점 지시</t>
    </r>
  </si>
  <si>
    <t xml:space="preserve">스크립터</t>
  </si>
  <si>
    <r>
      <rPr>
        <sz val="10"/>
        <rFont val="WenQuanYi Zen Hei"/>
        <family val="2"/>
      </rPr>
      <t xml:space="preserve">모니터링룸 실시간 기록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실제 시작 시각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녹취록 초안</t>
    </r>
  </si>
  <si>
    <t xml:space="preserve">오거나이저</t>
  </si>
  <si>
    <r>
      <rPr>
        <sz val="10"/>
        <rFont val="WenQuanYi Zen Hei"/>
        <family val="2"/>
      </rPr>
      <t xml:space="preserve">모니터링룸 총괄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거수 결과 기록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모더레이터에 시그널</t>
    </r>
  </si>
  <si>
    <r>
      <rPr>
        <sz val="10"/>
        <rFont val="WenQuanYi Zen Hei"/>
        <family val="2"/>
      </rPr>
      <t xml:space="preserve">등록 관리 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</si>
  <si>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등록데스크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동의서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평가지 회수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답례 지급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참석 확인 전화</t>
    </r>
  </si>
  <si>
    <t xml:space="preserve">기술</t>
  </si>
  <si>
    <r>
      <rPr>
        <sz val="10"/>
        <rFont val="WenQuanYi Zen Hei"/>
        <family val="2"/>
      </rPr>
      <t xml:space="preserve">줌 카메라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대</t>
    </r>
    <r>
      <rPr>
        <sz val="10"/>
        <rFont val="맑은 고딕"/>
        <family val="0"/>
        <charset val="1"/>
      </rPr>
      <t xml:space="preserve">, Plaud 2</t>
    </r>
    <r>
      <rPr>
        <sz val="10"/>
        <rFont val="WenQuanYi Zen Hei"/>
        <family val="2"/>
      </rPr>
      <t xml:space="preserve">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화면 송출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인터넷</t>
    </r>
  </si>
  <si>
    <r>
      <rPr>
        <sz val="10"/>
        <rFont val="WenQuanYi Zen Hei"/>
        <family val="2"/>
      </rPr>
      <t xml:space="preserve">참관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시그널앤펄스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인</t>
    </r>
    <r>
      <rPr>
        <sz val="10"/>
        <rFont val="맑은 고딕"/>
        <family val="0"/>
        <charset val="1"/>
      </rPr>
      <t xml:space="preserve">)</t>
    </r>
  </si>
  <si>
    <t xml:space="preserve">모니터링룸 참관</t>
  </si>
  <si>
    <r>
      <rPr>
        <i val="true"/>
        <sz val="9"/>
        <color rgb="FF595959"/>
        <rFont val="WenQuanYi Zen Hei"/>
        <family val="2"/>
      </rPr>
      <t xml:space="preserve">※ 노란 칸은 회차 확정 시 기입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현장 기록 문서 </t>
    </r>
    <r>
      <rPr>
        <i val="true"/>
        <sz val="9"/>
        <color rgb="FF595959"/>
        <rFont val="맑은 고딕"/>
        <family val="0"/>
        <charset val="1"/>
      </rPr>
      <t xml:space="preserve">v0.7</t>
    </r>
    <r>
      <rPr>
        <i val="true"/>
        <sz val="9"/>
        <color rgb="FF595959"/>
        <rFont val="WenQuanYi Zen Hei"/>
        <family val="2"/>
      </rPr>
      <t xml:space="preserve">에도 같은 칸이 비어 있다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</si>
  <si>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확인 필요 </t>
    </r>
    <r>
      <rPr>
        <b val="true"/>
        <sz val="11"/>
        <rFont val="맑은 고딕"/>
        <family val="0"/>
        <charset val="1"/>
      </rPr>
      <t xml:space="preserve">(2026-09-06 </t>
    </r>
    <r>
      <rPr>
        <b val="true"/>
        <sz val="11"/>
        <rFont val="WenQuanYi Zen Hei"/>
        <family val="2"/>
      </rPr>
      <t xml:space="preserve">기준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</si>
  <si>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☐ 사후 서면 의견 제출 채널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이메일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온라인 폼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마무리</t>
    </r>
    <r>
      <rPr>
        <sz val="10"/>
        <rFont val="맑은 고딕"/>
        <family val="0"/>
        <charset val="1"/>
      </rPr>
      <t xml:space="preserve">(9/7 15:50) </t>
    </r>
    <r>
      <rPr>
        <sz val="10"/>
        <rFont val="WenQuanYi Zen Hei"/>
        <family val="2"/>
      </rPr>
      <t xml:space="preserve">전 확정</t>
    </r>
  </si>
  <si>
    <r>
      <rPr>
        <sz val="10"/>
        <rFont val="WenQuanYi Zen Hei"/>
        <family val="2"/>
      </rPr>
      <t xml:space="preserve">☐ 그룹 </t>
    </r>
    <r>
      <rPr>
        <sz val="10"/>
        <rFont val="맑은 고딕"/>
        <family val="0"/>
        <charset val="1"/>
      </rPr>
      <t xml:space="preserve">2 </t>
    </r>
    <r>
      <rPr>
        <sz val="10"/>
        <rFont val="WenQuanYi Zen Hei"/>
        <family val="2"/>
      </rPr>
      <t xml:space="preserve">예비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 배분 — 권장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개선 제안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협력 확대 </t>
    </r>
    <r>
      <rPr>
        <sz val="10"/>
        <rFont val="맑은 고딕"/>
        <family val="0"/>
        <charset val="1"/>
      </rPr>
      <t xml:space="preserve">25</t>
    </r>
    <r>
      <rPr>
        <sz val="10"/>
        <rFont val="WenQuanYi Zen Hei"/>
        <family val="2"/>
      </rPr>
      <t xml:space="preserve">분</t>
    </r>
  </si>
  <si>
    <r>
      <rPr>
        <sz val="10"/>
        <rFont val="WenQuanYi Zen Hei"/>
        <family val="2"/>
      </rPr>
      <t xml:space="preserve">☐ 운영 인력 성함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휴대전화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비상 연락처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건물 관리실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재단 담당자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인근 병원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</si>
  <si>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☐ 그룹 </t>
    </r>
    <r>
      <rPr>
        <sz val="10"/>
        <rFont val="맑은 고딕"/>
        <family val="0"/>
        <charset val="1"/>
      </rPr>
      <t xml:space="preserve">4 </t>
    </r>
    <r>
      <rPr>
        <sz val="10"/>
        <rFont val="WenQuanYi Zen Hei"/>
        <family val="2"/>
      </rPr>
      <t xml:space="preserve">참석자 개인 명단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재단 전달 대기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</si>
  <si>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☐ 9/7</t>
    </r>
    <r>
      <rPr>
        <sz val="10"/>
        <rFont val="WenQuanYi Zen Hei"/>
        <family val="2"/>
      </rPr>
      <t xml:space="preserve">은 그룹 </t>
    </r>
    <r>
      <rPr>
        <sz val="10"/>
        <rFont val="맑은 고딕"/>
        <family val="0"/>
        <charset val="1"/>
      </rPr>
      <t xml:space="preserve">1 D-day</t>
    </r>
    <r>
      <rPr>
        <sz val="10"/>
        <rFont val="WenQuanYi Zen Hei"/>
        <family val="2"/>
      </rPr>
      <t xml:space="preserve">이자 그룹 </t>
    </r>
    <r>
      <rPr>
        <sz val="10"/>
        <rFont val="맑은 고딕"/>
        <family val="0"/>
        <charset val="1"/>
      </rPr>
      <t xml:space="preserve">2 D-1 — </t>
    </r>
    <r>
      <rPr>
        <sz val="10"/>
        <rFont val="WenQuanYi Zen Hei"/>
        <family val="2"/>
      </rPr>
      <t xml:space="preserve">종료 후 그룹 </t>
    </r>
    <r>
      <rPr>
        <sz val="10"/>
        <rFont val="맑은 고딕"/>
        <family val="0"/>
        <charset val="1"/>
      </rPr>
      <t xml:space="preserve">2 </t>
    </r>
    <r>
      <rPr>
        <sz val="10"/>
        <rFont val="WenQuanYi Zen Hei"/>
        <family val="2"/>
      </rPr>
      <t xml:space="preserve">참석 확인 전화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리허설 담당 지정</t>
    </r>
  </si>
  <si>
    <r>
      <rPr>
        <b val="true"/>
        <sz val="14"/>
        <rFont val="WenQuanYi Zen Hei"/>
        <family val="2"/>
      </rPr>
      <t xml:space="preserve">공통 준비</t>
    </r>
    <r>
      <rPr>
        <b val="true"/>
        <sz val="14"/>
        <rFont val="맑은 고딕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운영 일정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회차마다 반복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</si>
  <si>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표준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코리아스픽스 업무표준 ③단계 </t>
    </r>
    <r>
      <rPr>
        <i val="true"/>
        <sz val="9"/>
        <color rgb="FF595959"/>
        <rFont val="맑은 고딕"/>
        <family val="0"/>
        <charset val="1"/>
      </rPr>
      <t xml:space="preserve">3.2 FGD </t>
    </r>
    <r>
      <rPr>
        <i val="true"/>
        <sz val="9"/>
        <color rgb="FF595959"/>
        <rFont val="WenQuanYi Zen Hei"/>
        <family val="2"/>
      </rPr>
      <t xml:space="preserve">항목 </t>
    </r>
    <r>
      <rPr>
        <i val="true"/>
        <sz val="9"/>
        <color rgb="FF595959"/>
        <rFont val="맑은 고딕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실행계획안 </t>
    </r>
    <r>
      <rPr>
        <i val="true"/>
        <sz val="9"/>
        <color rgb="FF595959"/>
        <rFont val="맑은 고딕"/>
        <family val="0"/>
        <charset val="1"/>
      </rPr>
      <t xml:space="preserve">v0.9.1 </t>
    </r>
    <r>
      <rPr>
        <i val="true"/>
        <sz val="9"/>
        <color rgb="FF595959"/>
        <rFont val="WenQuanYi Zen Hei"/>
        <family val="2"/>
      </rPr>
      <t xml:space="preserve">추진 절차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날짜는 </t>
    </r>
    <r>
      <rPr>
        <i val="true"/>
        <sz val="9"/>
        <color rgb="FF595959"/>
        <rFont val="맑은 고딕"/>
        <family val="0"/>
        <charset val="1"/>
      </rPr>
      <t xml:space="preserve">2026-09-06 </t>
    </r>
    <r>
      <rPr>
        <i val="true"/>
        <sz val="9"/>
        <color rgb="FF595959"/>
        <rFont val="WenQuanYi Zen Hei"/>
        <family val="2"/>
      </rPr>
      <t xml:space="preserve">기준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</si>
  <si>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회차별 날짜</t>
    </r>
  </si>
  <si>
    <t xml:space="preserve">시점</t>
  </si>
  <si>
    <r>
      <rPr>
        <b val="true"/>
        <sz val="10"/>
        <color rgb="FFFFFFFF"/>
        <rFont val="WenQuanYi Zen Hei"/>
        <family val="2"/>
      </rPr>
      <t xml:space="preserve">그룹 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</si>
  <si>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그룹 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</si>
  <si>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그룹 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</si>
  <si>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r>
      <rPr>
        <b val="true"/>
        <sz val="10"/>
        <color rgb="FFFFFFFF"/>
        <rFont val="WenQuanYi Zen Hei"/>
        <family val="2"/>
      </rPr>
      <t xml:space="preserve">그룹 </t>
    </r>
    <r>
      <rPr>
        <b val="true"/>
        <sz val="10"/>
        <color rgb="FFFFFFFF"/>
        <rFont val="맑은 고딕"/>
        <family val="0"/>
        <charset val="1"/>
      </rPr>
      <t xml:space="preserve">4</t>
    </r>
  </si>
  <si>
    <r>
      <rPr>
        <b val="true"/>
        <sz val="10"/>
        <rFont val="맑은 고딕"/>
        <family val="0"/>
        <charset val="1"/>
      </rPr>
      <t xml:space="preserve">D-3 </t>
    </r>
    <r>
      <rPr>
        <b val="true"/>
        <sz val="10"/>
        <rFont val="WenQuanYi Zen Hei"/>
        <family val="2"/>
      </rPr>
      <t xml:space="preserve">준비 점검</t>
    </r>
  </si>
  <si>
    <r>
      <rPr>
        <sz val="10"/>
        <rFont val="맑은 고딕"/>
        <family val="0"/>
        <charset val="1"/>
      </rPr>
      <t xml:space="preserve">9/4(</t>
    </r>
    <r>
      <rPr>
        <sz val="10"/>
        <rFont val="WenQuanYi Zen Hei"/>
        <family val="2"/>
      </rPr>
      <t xml:space="preserve">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</si>
  <si>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9/4(</t>
    </r>
    <r>
      <rPr>
        <sz val="10"/>
        <rFont val="WenQuanYi Zen Hei"/>
        <family val="2"/>
      </rPr>
      <t xml:space="preserve">금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함께</t>
    </r>
  </si>
  <si>
    <r>
      <rPr>
        <sz val="10"/>
        <rFont val="맑은 고딕"/>
        <family val="0"/>
        <charset val="1"/>
      </rPr>
      <t xml:space="preserve">9/11(</t>
    </r>
    <r>
      <rPr>
        <sz val="10"/>
        <rFont val="WenQuanYi Zen Hei"/>
        <family val="2"/>
      </rPr>
      <t xml:space="preserve">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</si>
  <si>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9/14(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</si>
  <si>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t xml:space="preserve">주말이면 직전 금요일</t>
  </si>
  <si>
    <r>
      <rPr>
        <b val="true"/>
        <sz val="10"/>
        <rFont val="맑은 고딕"/>
        <family val="0"/>
        <charset val="1"/>
      </rPr>
      <t xml:space="preserve">D-1 </t>
    </r>
    <r>
      <rPr>
        <b val="true"/>
        <sz val="10"/>
        <rFont val="WenQuanYi Zen Hei"/>
        <family val="2"/>
      </rPr>
      <t xml:space="preserve">리허설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참석 확인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차</t>
    </r>
  </si>
  <si>
    <r>
      <rPr>
        <sz val="10"/>
        <rFont val="맑은 고딕"/>
        <family val="0"/>
        <charset val="1"/>
      </rPr>
      <t xml:space="preserve">9/6(</t>
    </r>
    <r>
      <rPr>
        <sz val="10"/>
        <rFont val="WenQuanYi Zen Hei"/>
        <family val="2"/>
      </rPr>
      <t xml:space="preserve">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</si>
  <si>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9/7(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그룹 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종료 직후</t>
    </r>
  </si>
  <si>
    <r>
      <rPr>
        <sz val="10"/>
        <rFont val="맑은 고딕"/>
        <family val="0"/>
        <charset val="1"/>
      </rPr>
      <t xml:space="preserve">9/16(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</t>
    </r>
  </si>
  <si>
    <t xml:space="preserve">D-day</t>
  </si>
  <si>
    <r>
      <rPr>
        <sz val="10"/>
        <rFont val="맑은 고딕"/>
        <family val="0"/>
        <charset val="1"/>
      </rPr>
      <t xml:space="preserve">9/7(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</si>
  <si>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9/8(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</si>
  <si>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9/15(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</si>
  <si>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9/17(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)</t>
    </r>
  </si>
  <si>
    <t xml:space="preserve">14:00~16:00</t>
  </si>
  <si>
    <r>
      <rPr>
        <b val="true"/>
        <sz val="10"/>
        <rFont val="맑은 고딕"/>
        <family val="0"/>
        <charset val="1"/>
      </rPr>
      <t xml:space="preserve">D+1 </t>
    </r>
    <r>
      <rPr>
        <b val="true"/>
        <sz val="10"/>
        <rFont val="WenQuanYi Zen Hei"/>
        <family val="2"/>
      </rPr>
      <t xml:space="preserve">서면 평가지 입력</t>
    </r>
  </si>
  <si>
    <r>
      <rPr>
        <sz val="10"/>
        <rFont val="맑은 고딕"/>
        <family val="0"/>
        <charset val="1"/>
      </rPr>
      <t xml:space="preserve">9/9(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</si>
  <si>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9/18(</t>
    </r>
    <r>
      <rPr>
        <sz val="10"/>
        <rFont val="WenQuanYi Zen Hei"/>
        <family val="2"/>
      </rPr>
      <t xml:space="preserve">금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</si>
  <si>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사후 서면 의견 마감 </t>
    </r>
    <r>
      <rPr>
        <b val="true"/>
        <sz val="10"/>
        <rFont val="맑은 고딕"/>
        <family val="0"/>
        <charset val="1"/>
      </rPr>
      <t xml:space="preserve">(3</t>
    </r>
    <r>
      <rPr>
        <b val="true"/>
        <sz val="10"/>
        <rFont val="WenQuanYi Zen Hei"/>
        <family val="2"/>
      </rPr>
      <t xml:space="preserve">영업일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</si>
  <si>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9/10(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</si>
  <si>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9/22(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</si>
  <si>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녹취록 완성 </t>
    </r>
    <r>
      <rPr>
        <b val="true"/>
        <sz val="10"/>
        <rFont val="맑은 고딕"/>
        <family val="0"/>
        <charset val="1"/>
      </rPr>
      <t xml:space="preserve">(D+10)</t>
    </r>
  </si>
  <si>
    <r>
      <rPr>
        <sz val="10"/>
        <rFont val="맑은 고딕"/>
        <family val="0"/>
        <charset val="1"/>
      </rPr>
      <t xml:space="preserve">9/23(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 ※</t>
    </r>
  </si>
  <si>
    <r>
      <rPr>
        <sz val="10"/>
        <rFont val="맑은 고딕"/>
        <family val="0"/>
        <charset val="1"/>
      </rPr>
      <t xml:space="preserve">9/23(</t>
    </r>
    <r>
      <rPr>
        <sz val="10"/>
        <rFont val="WenQuanYi Zen Hei"/>
        <family val="2"/>
      </rPr>
      <t xml:space="preserve">수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또는 </t>
    </r>
    <r>
      <rPr>
        <sz val="10"/>
        <rFont val="맑은 고딕"/>
        <family val="0"/>
        <charset val="1"/>
      </rPr>
      <t xml:space="preserve">9/29(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 ※</t>
    </r>
  </si>
  <si>
    <r>
      <rPr>
        <sz val="10"/>
        <rFont val="WenQuanYi Zen Hei"/>
        <family val="2"/>
      </rPr>
      <t xml:space="preserve">※ 추석 연휴</t>
    </r>
    <r>
      <rPr>
        <sz val="10"/>
        <rFont val="맑은 고딕"/>
        <family val="0"/>
        <charset val="1"/>
      </rPr>
      <t xml:space="preserve">(9/24~9/28 </t>
    </r>
    <r>
      <rPr>
        <sz val="10"/>
        <rFont val="WenQuanYi Zen Hei"/>
        <family val="2"/>
      </rPr>
      <t xml:space="preserve">예상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회피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재단 협의</t>
    </r>
  </si>
  <si>
    <r>
      <rPr>
        <b val="true"/>
        <sz val="11"/>
        <rFont val="맑은 고딕"/>
        <family val="0"/>
        <charset val="1"/>
      </rPr>
      <t xml:space="preserve">2. D-3 </t>
    </r>
    <r>
      <rPr>
        <b val="true"/>
        <sz val="11"/>
        <rFont val="WenQuanYi Zen Hei"/>
        <family val="2"/>
      </rPr>
      <t xml:space="preserve">체크리스트</t>
    </r>
  </si>
  <si>
    <t xml:space="preserve">업무</t>
  </si>
  <si>
    <t xml:space="preserve">담당</t>
  </si>
  <si>
    <t xml:space="preserve">확인</t>
  </si>
  <si>
    <t xml:space="preserve">D-3</t>
  </si>
  <si>
    <r>
      <rPr>
        <sz val="10"/>
        <rFont val="WenQuanYi Zen Hei"/>
        <family val="2"/>
      </rPr>
      <t xml:space="preserve">장소 인터넷</t>
    </r>
    <r>
      <rPr>
        <sz val="10"/>
        <rFont val="맑은 고딕"/>
        <family val="0"/>
        <charset val="1"/>
      </rPr>
      <t xml:space="preserve">(Wi-Fi·</t>
    </r>
    <r>
      <rPr>
        <sz val="10"/>
        <rFont val="WenQuanYi Zen Hei"/>
        <family val="2"/>
      </rPr>
      <t xml:space="preserve">유선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계정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속도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동시 접속 가능 대수 확인</t>
    </r>
  </si>
  <si>
    <t xml:space="preserve">☐</t>
  </si>
  <si>
    <r>
      <rPr>
        <sz val="10"/>
        <rFont val="WenQuanYi Zen Hei"/>
        <family val="2"/>
      </rPr>
      <t xml:space="preserve">모니터링룸 책상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의자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참관 인원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스탭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인 요청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재단 교육장은 재단 담당자 경유</t>
    </r>
    <r>
      <rPr>
        <sz val="10"/>
        <rFont val="맑은 고딕"/>
        <family val="0"/>
        <charset val="1"/>
      </rPr>
      <t xml:space="preserve">)</t>
    </r>
  </si>
  <si>
    <t xml:space="preserve">등록관리</t>
  </si>
  <si>
    <r>
      <rPr>
        <sz val="10"/>
        <rFont val="WenQuanYi Zen Hei"/>
        <family val="2"/>
      </rPr>
      <t xml:space="preserve">모더레이터 사전 브리핑 </t>
    </r>
    <r>
      <rPr>
        <sz val="10"/>
        <rFont val="맑은 고딕"/>
        <family val="0"/>
        <charset val="1"/>
      </rPr>
      <t xml:space="preserve">60</t>
    </r>
    <r>
      <rPr>
        <sz val="10"/>
        <rFont val="WenQuanYi Zen Hei"/>
        <family val="2"/>
      </rPr>
      <t xml:space="preserve">분 — 과업 목적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조사 설계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재단 사업 구조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관련 법령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그룹별 질문 의도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송출 자료</t>
    </r>
  </si>
  <si>
    <t xml:space="preserve">PM</t>
  </si>
  <si>
    <r>
      <rPr>
        <sz val="10"/>
        <rFont val="WenQuanYi Zen Hei"/>
        <family val="2"/>
      </rPr>
      <t xml:space="preserve">참석 확정자 안내 문자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대중교통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</si>
  <si>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서면 평가지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동의서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답례 서류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사후 의견 안내문 인쇄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인원 </t>
    </r>
    <r>
      <rPr>
        <sz val="10"/>
        <rFont val="맑은 고딕"/>
        <family val="0"/>
        <charset val="1"/>
      </rPr>
      <t xml:space="preserve">+ 5</t>
    </r>
    <r>
      <rPr>
        <sz val="10"/>
        <rFont val="WenQuanYi Zen Hei"/>
        <family val="2"/>
      </rPr>
      <t xml:space="preserve">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</si>
  <si>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대체 참석자 </t>
    </r>
    <r>
      <rPr>
        <sz val="10"/>
        <rFont val="맑은 고딕"/>
        <family val="0"/>
        <charset val="1"/>
      </rPr>
      <t xml:space="preserve">Pool 5</t>
    </r>
    <r>
      <rPr>
        <sz val="10"/>
        <rFont val="WenQuanYi Zen Hei"/>
        <family val="2"/>
      </rPr>
      <t xml:space="preserve">명 이상 확보 상태 확인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서면 참여자에게 질문지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평가지 발송</t>
    </r>
  </si>
  <si>
    <r>
      <rPr>
        <b val="true"/>
        <sz val="11"/>
        <rFont val="맑은 고딕"/>
        <family val="0"/>
        <charset val="1"/>
      </rPr>
      <t xml:space="preserve">3. D-1 </t>
    </r>
    <r>
      <rPr>
        <b val="true"/>
        <sz val="11"/>
        <rFont val="WenQuanYi Zen Hei"/>
        <family val="2"/>
      </rPr>
      <t xml:space="preserve">체크리스트</t>
    </r>
  </si>
  <si>
    <t xml:space="preserve">D-1</t>
  </si>
  <si>
    <r>
      <rPr>
        <sz val="10"/>
        <rFont val="WenQuanYi Zen Hei"/>
        <family val="2"/>
      </rPr>
      <t xml:space="preserve">진행 리허설 — 큐시트 순서대로 스크립트 낭독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송출 자료 전환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녹음 동선</t>
    </r>
  </si>
  <si>
    <r>
      <rPr>
        <sz val="10"/>
        <rFont val="WenQuanYi Zen Hei"/>
        <family val="2"/>
      </rPr>
      <t xml:space="preserve">참석 확인 전화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차 </t>
    </r>
    <r>
      <rPr>
        <sz val="10"/>
        <rFont val="맑은 고딕"/>
        <family val="0"/>
        <charset val="1"/>
      </rPr>
      <t xml:space="preserve">(R.S.V.P), </t>
    </r>
    <r>
      <rPr>
        <sz val="10"/>
        <rFont val="WenQuanYi Zen Hei"/>
        <family val="2"/>
      </rPr>
      <t xml:space="preserve">불참 시 대체 </t>
    </r>
    <r>
      <rPr>
        <sz val="10"/>
        <rFont val="맑은 고딕"/>
        <family val="0"/>
        <charset val="1"/>
      </rPr>
      <t xml:space="preserve">Pool </t>
    </r>
    <r>
      <rPr>
        <sz val="10"/>
        <rFont val="WenQuanYi Zen Hei"/>
        <family val="2"/>
      </rPr>
      <t xml:space="preserve">즉시 충원</t>
    </r>
  </si>
  <si>
    <r>
      <rPr>
        <sz val="10"/>
        <rFont val="WenQuanYi Zen Hei"/>
        <family val="2"/>
      </rPr>
      <t xml:space="preserve">모니터링룸 참관자에게 일시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노트북 지참 안내</t>
    </r>
  </si>
  <si>
    <r>
      <rPr>
        <sz val="10"/>
        <rFont val="WenQuanYi Zen Hei"/>
        <family val="2"/>
      </rPr>
      <t xml:space="preserve">패킹리스트 ‘담음’ 체크 — 서류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노트북 </t>
    </r>
    <r>
      <rPr>
        <sz val="10"/>
        <rFont val="맑은 고딕"/>
        <family val="0"/>
        <charset val="1"/>
      </rPr>
      <t xml:space="preserve">2·</t>
    </r>
    <r>
      <rPr>
        <sz val="10"/>
        <rFont val="WenQuanYi Zen Hei"/>
        <family val="2"/>
      </rPr>
      <t xml:space="preserve">줌 카메라 </t>
    </r>
    <r>
      <rPr>
        <sz val="10"/>
        <rFont val="맑은 고딕"/>
        <family val="0"/>
        <charset val="1"/>
      </rPr>
      <t xml:space="preserve">3·Plaud 2·</t>
    </r>
    <r>
      <rPr>
        <sz val="10"/>
        <rFont val="WenQuanYi Zen Hei"/>
        <family val="2"/>
      </rPr>
      <t xml:space="preserve">멀티탭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랜선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테더링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다과</t>
    </r>
  </si>
  <si>
    <r>
      <rPr>
        <sz val="10"/>
        <rFont val="WenQuanYi Zen Hei"/>
        <family val="2"/>
      </rPr>
      <t xml:space="preserve">등록관리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기술</t>
    </r>
  </si>
  <si>
    <r>
      <rPr>
        <sz val="10"/>
        <rFont val="WenQuanYi Zen Hei"/>
        <family val="2"/>
      </rPr>
      <t xml:space="preserve">큐시트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현장 기록 문서에 운영 인력 성함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휴대전화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비상 연락처 기입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모더레이터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스크립터용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부 인쇄</t>
    </r>
  </si>
  <si>
    <r>
      <rPr>
        <sz val="10"/>
        <rFont val="맑은 고딕"/>
        <family val="0"/>
        <charset val="1"/>
      </rPr>
      <t xml:space="preserve">Plaud 2</t>
    </r>
    <r>
      <rPr>
        <sz val="10"/>
        <rFont val="WenQuanYi Zen Hei"/>
        <family val="2"/>
      </rPr>
      <t xml:space="preserve">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노트북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보조배터리 완충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송출 자료 오프라인 사본 저장</t>
    </r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</si>
  <si>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사후 일정</t>
    </r>
  </si>
  <si>
    <t xml:space="preserve">D+1</t>
  </si>
  <si>
    <r>
      <rPr>
        <sz val="10"/>
        <rFont val="WenQuanYi Zen Hei"/>
        <family val="2"/>
      </rPr>
      <t xml:space="preserve">서면 평가지 입력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녹화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녹음 파일 백업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종료 직후 정리 내용 </t>
    </r>
    <r>
      <rPr>
        <sz val="10"/>
        <rFont val="맑은 고딕"/>
        <family val="0"/>
        <charset val="1"/>
      </rPr>
      <t xml:space="preserve">flow </t>
    </r>
    <r>
      <rPr>
        <sz val="10"/>
        <rFont val="WenQuanYi Zen Hei"/>
        <family val="2"/>
      </rPr>
      <t xml:space="preserve">게시</t>
    </r>
  </si>
  <si>
    <r>
      <rPr>
        <sz val="10"/>
        <rFont val="WenQuanYi Zen Hei"/>
        <family val="2"/>
      </rPr>
      <t xml:space="preserve">등록관리 </t>
    </r>
    <r>
      <rPr>
        <sz val="10"/>
        <rFont val="맑은 고딕"/>
        <family val="0"/>
        <charset val="1"/>
      </rPr>
      <t xml:space="preserve">· PM</t>
    </r>
  </si>
  <si>
    <r>
      <rPr>
        <sz val="10"/>
        <rFont val="맑은 고딕"/>
        <family val="0"/>
        <charset val="1"/>
      </rPr>
      <t xml:space="preserve">D+3</t>
    </r>
    <r>
      <rPr>
        <sz val="10"/>
        <rFont val="WenQuanYi Zen Hei"/>
        <family val="2"/>
      </rPr>
      <t xml:space="preserve">영업일</t>
    </r>
  </si>
  <si>
    <r>
      <rPr>
        <sz val="10"/>
        <rFont val="WenQuanYi Zen Hei"/>
        <family val="2"/>
      </rPr>
      <t xml:space="preserve">사후 서면 의견 취합 마감 → 출처 표시 후 그룹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주제별 코딩</t>
    </r>
  </si>
  <si>
    <t xml:space="preserve">D+10</t>
  </si>
  <si>
    <r>
      <rPr>
        <sz val="10"/>
        <rFont val="WenQuanYi Zen Hei"/>
        <family val="2"/>
      </rPr>
      <t xml:space="preserve">녹취록 완성 — </t>
    </r>
    <r>
      <rPr>
        <sz val="10"/>
        <rFont val="맑은 고딕"/>
        <family val="0"/>
        <charset val="1"/>
      </rPr>
      <t xml:space="preserve">Plaud AI </t>
    </r>
    <r>
      <rPr>
        <sz val="10"/>
        <rFont val="WenQuanYi Zen Hei"/>
        <family val="2"/>
      </rPr>
      <t xml:space="preserve">초안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스크립터 교정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발언별 주제 코드</t>
    </r>
    <r>
      <rPr>
        <sz val="10"/>
        <rFont val="맑은 고딕"/>
        <family val="0"/>
        <charset val="1"/>
      </rPr>
      <t xml:space="preserve">(A~J) </t>
    </r>
    <r>
      <rPr>
        <sz val="10"/>
        <rFont val="WenQuanYi Zen Hei"/>
        <family val="2"/>
      </rPr>
      <t xml:space="preserve">부여</t>
    </r>
  </si>
  <si>
    <r>
      <rPr>
        <sz val="10"/>
        <rFont val="WenQuanYi Zen Hei"/>
        <family val="2"/>
      </rPr>
      <t xml:space="preserve">녹취록 </t>
    </r>
    <r>
      <rPr>
        <sz val="10"/>
        <rFont val="맑은 고딕"/>
        <family val="0"/>
        <charset val="1"/>
      </rPr>
      <t xml:space="preserve">+5</t>
    </r>
    <r>
      <rPr>
        <sz val="10"/>
        <rFont val="WenQuanYi Zen Hei"/>
        <family val="2"/>
      </rPr>
      <t xml:space="preserve">일</t>
    </r>
  </si>
  <si>
    <r>
      <rPr>
        <sz val="10"/>
        <rFont val="WenQuanYi Zen Hei"/>
        <family val="2"/>
      </rPr>
      <t xml:space="preserve">회차 분석 보고서 </t>
    </r>
    <r>
      <rPr>
        <sz val="10"/>
        <rFont val="맑은 고딕"/>
        <family val="0"/>
        <charset val="1"/>
      </rPr>
      <t xml:space="preserve">(Key Findings, </t>
    </r>
    <r>
      <rPr>
        <sz val="10"/>
        <rFont val="WenQuanYi Zen Hei"/>
        <family val="2"/>
      </rPr>
      <t xml:space="preserve">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부정 코딩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정량조사 상이 지점</t>
    </r>
    <r>
      <rPr>
        <sz val="10"/>
        <rFont val="맑은 고딕"/>
        <family val="0"/>
        <charset val="1"/>
      </rPr>
      <t xml:space="preserve">)</t>
    </r>
  </si>
  <si>
    <t xml:space="preserve">연구원</t>
  </si>
  <si>
    <t xml:space="preserve">D+7 ~ D+14</t>
  </si>
  <si>
    <r>
      <rPr>
        <sz val="10"/>
        <rFont val="WenQuanYi Zen Hei"/>
        <family val="2"/>
      </rPr>
      <t xml:space="preserve">참석자 답례비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스탭 급여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장소 대관 정산</t>
    </r>
  </si>
  <si>
    <r>
      <rPr>
        <sz val="10"/>
        <rFont val="맑은 고딕"/>
        <family val="0"/>
        <charset val="1"/>
      </rPr>
      <t xml:space="preserve">10/12(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목표</t>
    </r>
  </si>
  <si>
    <r>
      <rPr>
        <sz val="10"/>
        <rFont val="WenQuanYi Zen Hei"/>
        <family val="2"/>
      </rPr>
      <t xml:space="preserve">종합 보고서 초안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재단 납기 확정 시 갱신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</si>
  <si>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4"/>
        <rFont val="맑은 고딕"/>
        <family val="0"/>
        <charset val="1"/>
      </rPr>
      <t xml:space="preserve">[</t>
    </r>
    <r>
      <rPr>
        <b val="true"/>
        <sz val="14"/>
        <rFont val="WenQuanYi Zen Hei"/>
        <family val="2"/>
      </rPr>
      <t xml:space="preserve">그룹 </t>
    </r>
    <r>
      <rPr>
        <b val="true"/>
        <sz val="14"/>
        <rFont val="맑은 고딕"/>
        <family val="0"/>
        <charset val="1"/>
      </rPr>
      <t xml:space="preserve">1 · </t>
    </r>
    <r>
      <rPr>
        <b val="true"/>
        <sz val="14"/>
        <rFont val="WenQuanYi Zen Hei"/>
        <family val="2"/>
      </rPr>
      <t xml:space="preserve">사업 이용 고객</t>
    </r>
    <r>
      <rPr>
        <b val="true"/>
        <sz val="14"/>
        <rFont val="맑은 고딕"/>
        <family val="0"/>
        <charset val="1"/>
      </rPr>
      <t xml:space="preserve">] </t>
    </r>
    <r>
      <rPr>
        <b val="true"/>
        <sz val="14"/>
        <rFont val="WenQuanYi Zen Hei"/>
        <family val="2"/>
      </rPr>
      <t xml:space="preserve">스포츠안전재단 손해구제 서비스 </t>
    </r>
    <r>
      <rPr>
        <b val="true"/>
        <sz val="14"/>
        <rFont val="맑은 고딕"/>
        <family val="0"/>
        <charset val="1"/>
      </rPr>
      <t xml:space="preserve">FGI </t>
    </r>
    <r>
      <rPr>
        <b val="true"/>
        <sz val="14"/>
        <rFont val="WenQuanYi Zen Hei"/>
        <family val="2"/>
      </rPr>
      <t xml:space="preserve">큐시트</t>
    </r>
  </si>
  <si>
    <r>
      <rPr>
        <sz val="10"/>
        <rFont val="맑은 고딕"/>
        <family val="0"/>
        <charset val="1"/>
      </rPr>
      <t xml:space="preserve">2026-09-07(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패스트파이브 서울역점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서울 용산구 동자동 </t>
    </r>
    <r>
      <rPr>
        <sz val="10"/>
        <rFont val="맑은 고딕"/>
        <family val="0"/>
        <charset val="1"/>
      </rPr>
      <t xml:space="preserve">56 </t>
    </r>
    <r>
      <rPr>
        <sz val="10"/>
        <rFont val="WenQuanYi Zen Hei"/>
        <family val="2"/>
      </rPr>
      <t xml:space="preserve">트윈시티 남산</t>
    </r>
    <r>
      <rPr>
        <sz val="10"/>
        <rFont val="맑은 고딕"/>
        <family val="0"/>
        <charset val="1"/>
      </rPr>
      <t xml:space="preserve">2)</t>
    </r>
  </si>
  <si>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민간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공공 체육단체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체육시설 관리자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선수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동호인 </t>
    </r>
    <r>
      <rPr>
        <sz val="10"/>
        <rFont val="맑은 고딕"/>
        <family val="0"/>
        <charset val="1"/>
      </rPr>
      <t xml:space="preserve">(6~7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, 2025</t>
    </r>
    <r>
      <rPr>
        <sz val="10"/>
        <rFont val="WenQuanYi Zen Hei"/>
        <family val="2"/>
      </rPr>
      <t xml:space="preserve">년 서비스 가입자</t>
    </r>
    <r>
      <rPr>
        <sz val="10"/>
        <rFont val="맑은 고딕"/>
        <family val="0"/>
        <charset val="1"/>
      </rPr>
      <t xml:space="preserve">)</t>
    </r>
  </si>
  <si>
    <t xml:space="preserve">시작 시각</t>
  </si>
  <si>
    <t xml:space="preserve">14:00</t>
  </si>
  <si>
    <r>
      <rPr>
        <i val="true"/>
        <sz val="9"/>
        <color rgb="FF595959"/>
        <rFont val="WenQuanYi Zen Hei"/>
        <family val="2"/>
      </rPr>
      <t xml:space="preserve">← 실제 시작이 늦어지면 이 셀만 수정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전체 시각 자동 재계산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</si>
  <si>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도입 브리핑</t>
  </si>
  <si>
    <r>
      <rPr>
        <sz val="10"/>
        <rFont val="WenQuanYi Zen Hei"/>
        <family val="2"/>
      </rPr>
      <t xml:space="preserve">사업명 변경 안내만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특장점 브리핑 없음</t>
    </r>
    <r>
      <rPr>
        <sz val="10"/>
        <rFont val="맑은 고딕"/>
        <family val="0"/>
        <charset val="1"/>
      </rPr>
      <t xml:space="preserve">)</t>
    </r>
  </si>
  <si>
    <t xml:space="preserve">송출 자료</t>
  </si>
  <si>
    <r>
      <rPr>
        <sz val="10"/>
        <rFont val="WenQuanYi Zen Hei"/>
        <family val="2"/>
      </rPr>
      <t xml:space="preserve">가입 화면 </t>
    </r>
    <r>
      <rPr>
        <sz val="10"/>
        <rFont val="맑은 고딕"/>
        <family val="0"/>
        <charset val="1"/>
      </rPr>
      <t xml:space="preserve">· AI </t>
    </r>
    <r>
      <rPr>
        <sz val="10"/>
        <rFont val="WenQuanYi Zen Hei"/>
        <family val="2"/>
      </rPr>
      <t xml:space="preserve">상담 화면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법령 안내 슬라이드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법령 슬라이드</t>
    </r>
    <r>
      <rPr>
        <sz val="10"/>
        <rFont val="맑은 고딕"/>
        <family val="0"/>
        <charset val="1"/>
      </rPr>
      <t xml:space="preserve">: https://docs.google.com/presentation/d/1qNKAob6CdE12D9baQVkZxUtktVQAWlEgfi2QJ_5gaso/edit</t>
    </r>
  </si>
  <si>
    <t xml:space="preserve">No.</t>
  </si>
  <si>
    <t xml:space="preserve">시작</t>
  </si>
  <si>
    <t xml:space="preserve">종료</t>
  </si>
  <si>
    <r>
      <rPr>
        <b val="true"/>
        <sz val="10"/>
        <color rgb="FFFFFFFF"/>
        <rFont val="WenQuanYi Zen Hei"/>
        <family val="2"/>
      </rPr>
      <t xml:space="preserve">소요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</si>
  <si>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파트</t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</si>
  <si>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</si>
  <si>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진행 내용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모더레이터 멘트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질문 원문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</si>
  <si>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송출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자료</t>
    </r>
  </si>
  <si>
    <r>
      <rPr>
        <b val="true"/>
        <sz val="10"/>
        <color rgb="FFFFFFFF"/>
        <rFont val="WenQuanYi Zen Hei"/>
        <family val="2"/>
      </rPr>
      <t xml:space="preserve">스탭 액션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모니터링룸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등록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기술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</si>
  <si>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실제 시각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기록</t>
    </r>
  </si>
  <si>
    <r>
      <rPr>
        <sz val="10"/>
        <rFont val="맑은 고딕"/>
        <family val="0"/>
        <charset val="1"/>
      </rPr>
      <t xml:space="preserve">T-180</t>
    </r>
    <r>
      <rPr>
        <sz val="10"/>
        <rFont val="WenQuanYi Zen Hei"/>
        <family val="2"/>
      </rPr>
      <t xml:space="preserve">분</t>
    </r>
  </si>
  <si>
    <t xml:space="preserve">당일 준비</t>
  </si>
  <si>
    <t xml:space="preserve">참석 확인</t>
  </si>
  <si>
    <r>
      <rPr>
        <sz val="10"/>
        <rFont val="WenQuanYi Zen Hei"/>
        <family val="2"/>
      </rPr>
      <t xml:space="preserve">참석 확인 전화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차 — 불참 발생 시 대체 </t>
    </r>
    <r>
      <rPr>
        <sz val="10"/>
        <rFont val="맑은 고딕"/>
        <family val="0"/>
        <charset val="1"/>
      </rPr>
      <t xml:space="preserve">Pool</t>
    </r>
    <r>
      <rPr>
        <sz val="10"/>
        <rFont val="WenQuanYi Zen Hei"/>
        <family val="2"/>
      </rPr>
      <t xml:space="preserve">에서 즉시 충원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좌석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명패 재조정</t>
    </r>
  </si>
  <si>
    <r>
      <rPr>
        <sz val="10"/>
        <rFont val="맑은 고딕"/>
        <family val="0"/>
        <charset val="1"/>
      </rPr>
      <t xml:space="preserve">T-90</t>
    </r>
    <r>
      <rPr>
        <sz val="10"/>
        <rFont val="WenQuanYi Zen Hei"/>
        <family val="2"/>
      </rPr>
      <t xml:space="preserve">분</t>
    </r>
  </si>
  <si>
    <t xml:space="preserve">집결</t>
  </si>
  <si>
    <r>
      <rPr>
        <sz val="10"/>
        <rFont val="WenQuanYi Zen Hei"/>
        <family val="2"/>
      </rPr>
      <t xml:space="preserve">스탭 현장 집결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입실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대관 장소는 예약 시작 시각 확인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비상구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소화기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대피로 확인</t>
    </r>
  </si>
  <si>
    <r>
      <rPr>
        <sz val="10"/>
        <rFont val="WenQuanYi Zen Hei"/>
        <family val="2"/>
      </rPr>
      <t xml:space="preserve">전원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기술</t>
    </r>
  </si>
  <si>
    <r>
      <rPr>
        <sz val="10"/>
        <rFont val="맑은 고딕"/>
        <family val="0"/>
        <charset val="1"/>
      </rPr>
      <t xml:space="preserve">T-80</t>
    </r>
    <r>
      <rPr>
        <sz val="10"/>
        <rFont val="WenQuanYi Zen Hei"/>
        <family val="2"/>
      </rPr>
      <t xml:space="preserve">분</t>
    </r>
  </si>
  <si>
    <t xml:space="preserve">현장 미팅</t>
  </si>
  <si>
    <r>
      <rPr>
        <sz val="10"/>
        <rFont val="WenQuanYi Zen Hei"/>
        <family val="2"/>
      </rPr>
      <t xml:space="preserve">역할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동선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비상 연락처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오늘 회차 특이사항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참석 인원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서면 참여자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참관자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공유</t>
    </r>
  </si>
  <si>
    <r>
      <rPr>
        <sz val="10"/>
        <rFont val="맑은 고딕"/>
        <family val="0"/>
        <charset val="1"/>
      </rPr>
      <t xml:space="preserve">T-60</t>
    </r>
    <r>
      <rPr>
        <sz val="10"/>
        <rFont val="WenQuanYi Zen Hei"/>
        <family val="2"/>
      </rPr>
      <t xml:space="preserve">분</t>
    </r>
  </si>
  <si>
    <t xml:space="preserve">세팅</t>
  </si>
  <si>
    <r>
      <rPr>
        <sz val="10"/>
        <rFont val="WenQuanYi Zen Hei"/>
        <family val="2"/>
      </rPr>
      <t xml:space="preserve">인터뷰룸 좌석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원형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ㄷ자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탁상 명패</t>
    </r>
    <r>
      <rPr>
        <sz val="10"/>
        <rFont val="맑은 고딕"/>
        <family val="0"/>
        <charset val="1"/>
      </rPr>
      <t xml:space="preserve">(P</t>
    </r>
    <r>
      <rPr>
        <sz val="10"/>
        <rFont val="WenQuanYi Zen Hei"/>
        <family val="2"/>
      </rPr>
      <t xml:space="preserve">번호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좌석배치표 배치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음료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종이컵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냅킨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여분 </t>
    </r>
    <r>
      <rPr>
        <sz val="10"/>
        <rFont val="맑은 고딕"/>
        <family val="0"/>
        <charset val="1"/>
      </rPr>
      <t xml:space="preserve">10%) / </t>
    </r>
    <r>
      <rPr>
        <sz val="10"/>
        <rFont val="WenQuanYi Zen Hei"/>
        <family val="2"/>
      </rPr>
      <t xml:space="preserve">모니터링룸 책상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의자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좌석별 전원</t>
    </r>
  </si>
  <si>
    <r>
      <rPr>
        <sz val="10"/>
        <rFont val="맑은 고딕"/>
        <family val="0"/>
        <charset val="1"/>
      </rPr>
      <t xml:space="preserve">T-45</t>
    </r>
    <r>
      <rPr>
        <sz val="10"/>
        <rFont val="WenQuanYi Zen Hei"/>
        <family val="2"/>
      </rPr>
      <t xml:space="preserve">분</t>
    </r>
  </si>
  <si>
    <r>
      <rPr>
        <sz val="10"/>
        <rFont val="WenQuanYi Zen Hei"/>
        <family val="2"/>
      </rPr>
      <t xml:space="preserve">줌 카메라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대 연결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모니터링룸 화면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음향 확인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두 방 인터넷 속도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끊기면 테더링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노트북별 전원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인터넷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현장 기록 문서 접속 </t>
    </r>
    <r>
      <rPr>
        <sz val="10"/>
        <rFont val="맑은 고딕"/>
        <family val="0"/>
        <charset val="1"/>
      </rPr>
      <t xml:space="preserve">/ Plaud 2</t>
    </r>
    <r>
      <rPr>
        <sz val="10"/>
        <rFont val="WenQuanYi Zen Hei"/>
        <family val="2"/>
      </rPr>
      <t xml:space="preserve">대 충전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녹음 대기</t>
    </r>
  </si>
  <si>
    <r>
      <rPr>
        <sz val="10"/>
        <rFont val="맑은 고딕"/>
        <family val="0"/>
        <charset val="1"/>
      </rPr>
      <t xml:space="preserve">T-30</t>
    </r>
    <r>
      <rPr>
        <sz val="10"/>
        <rFont val="WenQuanYi Zen Hei"/>
        <family val="2"/>
      </rPr>
      <t xml:space="preserve">분</t>
    </r>
  </si>
  <si>
    <t xml:space="preserve">송출 준비</t>
  </si>
  <si>
    <r>
      <rPr>
        <sz val="10"/>
        <rFont val="WenQuanYi Zen Hei"/>
        <family val="2"/>
      </rPr>
      <t xml:space="preserve">송출 자료 순서대로 탭 열기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현장 기록 문서를 모더레이터 노트북에 열람 상태로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현장 리허설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송출 전환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모니터링룸 화면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음향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</si>
  <si>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T-20</t>
    </r>
    <r>
      <rPr>
        <sz val="10"/>
        <rFont val="WenQuanYi Zen Hei"/>
        <family val="2"/>
      </rPr>
      <t xml:space="preserve">분</t>
    </r>
  </si>
  <si>
    <t xml:space="preserve">리마인드</t>
  </si>
  <si>
    <r>
      <rPr>
        <sz val="10"/>
        <rFont val="WenQuanYi Zen Hei"/>
        <family val="2"/>
      </rPr>
      <t xml:space="preserve">모더레이터 리마인드 — 첫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분 진행 순서와 송출 시점 재확인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참관자 착석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개인정보 원칙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번호 사용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촬영 금지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안내</t>
    </r>
  </si>
  <si>
    <r>
      <rPr>
        <sz val="10"/>
        <rFont val="맑은 고딕"/>
        <family val="0"/>
        <charset val="1"/>
      </rPr>
      <t xml:space="preserve">PM · </t>
    </r>
    <r>
      <rPr>
        <sz val="10"/>
        <rFont val="WenQuanYi Zen Hei"/>
        <family val="2"/>
      </rPr>
      <t xml:space="preserve">오거나이저</t>
    </r>
  </si>
  <si>
    <r>
      <rPr>
        <sz val="10"/>
        <rFont val="맑은 고딕"/>
        <family val="0"/>
        <charset val="1"/>
      </rPr>
      <t xml:space="preserve">T-10</t>
    </r>
    <r>
      <rPr>
        <sz val="10"/>
        <rFont val="WenQuanYi Zen Hei"/>
        <family val="2"/>
      </rPr>
      <t xml:space="preserve">분</t>
    </r>
  </si>
  <si>
    <t xml:space="preserve">등록</t>
  </si>
  <si>
    <r>
      <rPr>
        <sz val="10"/>
        <rFont val="WenQuanYi Zen Hei"/>
        <family val="2"/>
      </rPr>
      <t xml:space="preserve">등록 개시 — 인적 사항 확인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명패 배부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좌석 안내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녹음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녹화 동의서 서명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사전 서면 평가지 배부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답례 지급 정보 서류 수령</t>
    </r>
  </si>
  <si>
    <t xml:space="preserve">T=0</t>
  </si>
  <si>
    <r>
      <rPr>
        <sz val="10"/>
        <rFont val="WenQuanYi Zen Hei"/>
        <family val="2"/>
      </rPr>
      <t xml:space="preserve">녹화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녹음 개시 — 줌 녹화 </t>
    </r>
    <r>
      <rPr>
        <sz val="10"/>
        <rFont val="맑은 고딕"/>
        <family val="0"/>
        <charset val="1"/>
      </rPr>
      <t xml:space="preserve">+ Plaud 2</t>
    </r>
    <r>
      <rPr>
        <sz val="10"/>
        <rFont val="WenQuanYi Zen Hei"/>
        <family val="2"/>
      </rPr>
      <t xml:space="preserve">대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인 육안 확인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지각자는 시작 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분까지 입장 허용</t>
    </r>
  </si>
  <si>
    <r>
      <rPr>
        <sz val="10"/>
        <rFont val="WenQuanYi Zen Hei"/>
        <family val="2"/>
      </rPr>
      <t xml:space="preserve">기술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등록관리</t>
    </r>
  </si>
  <si>
    <t xml:space="preserve">도입</t>
  </si>
  <si>
    <r>
      <rPr>
        <b val="true"/>
        <sz val="10"/>
        <rFont val="WenQuanYi Zen Hei"/>
        <family val="2"/>
      </rPr>
      <t xml:space="preserve">▶ 도입 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</si>
  <si>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스크립터</t>
    </r>
    <r>
      <rPr>
        <b val="true"/>
        <sz val="10"/>
        <rFont val="맑은 고딕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실제 시작 시각 기입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오거나이저</t>
    </r>
    <r>
      <rPr>
        <b val="true"/>
        <sz val="10"/>
        <rFont val="맑은 고딕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예정 종료 </t>
    </r>
    <r>
      <rPr>
        <b val="true"/>
        <sz val="10"/>
        <rFont val="맑은 고딕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분 전 모더레이터에 시그널</t>
    </r>
  </si>
  <si>
    <t xml:space="preserve">안내</t>
  </si>
  <si>
    <r>
      <rPr>
        <sz val="10"/>
        <rFont val="WenQuanYi Zen Hei"/>
        <family val="2"/>
      </rPr>
      <t xml:space="preserve">인사 — 오늘 참석해 주셔서 감사합니다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지금부터 스포츠안전재단 손해구제 서비스 집단심층면접을 시작하겠습니다</t>
    </r>
    <r>
      <rPr>
        <sz val="10"/>
        <rFont val="맑은 고딕"/>
        <family val="0"/>
        <charset val="1"/>
      </rPr>
      <t xml:space="preserve">.</t>
    </r>
  </si>
  <si>
    <t xml:space="preserve">소개</t>
  </si>
  <si>
    <r>
      <rPr>
        <sz val="10"/>
        <rFont val="WenQuanYi Zen Hei"/>
        <family val="2"/>
      </rPr>
      <t xml:space="preserve">모더레이터 소개 — 진행을 맡은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소속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성명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오늘은 정답을 찾는 자리가 아니라 여러분의 경험과 의견을 듣는 자리입니다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</si>
  <si>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조사기관 소개 — 이 조사는 재단과 별개의 제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기관인 코리아스픽스가 수행합니다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</si>
  <si>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참석자 확인 — 명패의 응답자 번호를 확인해 주십시오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오늘은 성명 대신 번호로 부르겠습니다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</si>
  <si>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탁상 명패</t>
    </r>
    <r>
      <rPr>
        <sz val="10"/>
        <rFont val="맑은 고딕"/>
        <family val="0"/>
        <charset val="1"/>
      </rPr>
      <t xml:space="preserve">(P</t>
    </r>
    <r>
      <rPr>
        <sz val="10"/>
        <rFont val="WenQuanYi Zen Hei"/>
        <family val="2"/>
      </rPr>
      <t xml:space="preserve">번호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</si>
  <si>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등록관리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미서명자 즉시 확인</t>
    </r>
  </si>
  <si>
    <r>
      <rPr>
        <sz val="10"/>
        <rFont val="WenQuanYi Zen Hei"/>
        <family val="2"/>
      </rPr>
      <t xml:space="preserve">녹화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녹음 동의서 서명과 사전 서면 평가지 회수 여부를 확인한다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</si>
  <si>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동의서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사전 서면 평가지</t>
    </r>
  </si>
  <si>
    <r>
      <rPr>
        <sz val="10"/>
        <rFont val="WenQuanYi Zen Hei"/>
        <family val="2"/>
      </rPr>
      <t xml:space="preserve">진행 안내 — </t>
    </r>
    <r>
      <rPr>
        <sz val="10"/>
        <rFont val="맑은 고딕"/>
        <family val="0"/>
        <charset val="1"/>
      </rPr>
      <t xml:space="preserve">120</t>
    </r>
    <r>
      <rPr>
        <sz val="10"/>
        <rFont val="WenQuanYi Zen Hei"/>
        <family val="2"/>
      </rPr>
      <t xml:space="preserve">분간 쉬는 시간 없이 진행합니다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화장실은 필요하실 때 다녀오셔도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</si>
  <si>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비밀보장 — 발언은 분석 목적으로만 쓰며 보고서에는 성명 없이 인용됩니다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답변을 원하지 않으시면 넘어가셔도 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중도 퇴장도 가능합니다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</si>
  <si>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발언 규칙 — 서로 다른 의견이 그대로 나오는 것이 좋습니다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한 분씩 말씀해 주시고 다른 분 의견을 반박하지 않으셔도 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</si>
  <si>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참석자 자기소개 — 번호 순서로 소속과 재단 서비스 이용 경험을 한 줄씩 말씀해 주십시오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</si>
  <si>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사업명 변경 안내 — 재단 사업명이 기존 ‘공제 서비스’에서 ‘손해구제 서비스’로 변경되었습니다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기존 ‘스포츠안전공제’가 보험 중심의 다소 한정적인 의미였다면</t>
    </r>
    <r>
      <rPr>
        <sz val="10"/>
        <rFont val="맑은 고딕"/>
        <family val="0"/>
        <charset val="1"/>
      </rPr>
      <t xml:space="preserve">, ‘</t>
    </r>
    <r>
      <rPr>
        <sz val="10"/>
        <rFont val="WenQuanYi Zen Hei"/>
        <family val="2"/>
      </rPr>
      <t xml:space="preserve">손해구제 서비스’는 스포츠 활동 중 사고 발생 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후 체육인에게 발생할 수 있는 다양한 손해를 폭넓게 구제한다는 의미입니다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기존 공제보험도 손해구제 서비스에 포함되며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오늘 논의의 주요 대상은 기존 공제보험입니다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</si>
  <si>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인지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가입 경로</t>
    </r>
  </si>
  <si>
    <r>
      <rPr>
        <b val="true"/>
        <sz val="10"/>
        <rFont val="WenQuanYi Zen Hei"/>
        <family val="2"/>
      </rPr>
      <t xml:space="preserve">▶ 인지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가입 경로 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</si>
  <si>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t xml:space="preserve">질문</t>
  </si>
  <si>
    <r>
      <rPr>
        <sz val="10"/>
        <rFont val="WenQuanYi Zen Hei"/>
        <family val="2"/>
      </rPr>
      <t xml:space="preserve">손해구제 서비스 도입 경로와 첫인상은 어떠했습니까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소속 단체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행사 주최 측 안내 ② 재단 홈페이지</t>
    </r>
    <r>
      <rPr>
        <sz val="10"/>
        <rFont val="맑은 고딕"/>
        <family val="0"/>
        <charset val="1"/>
      </rPr>
      <t xml:space="preserve">·SNS ③ </t>
    </r>
    <r>
      <rPr>
        <sz val="10"/>
        <rFont val="WenQuanYi Zen Hei"/>
        <family val="2"/>
      </rPr>
      <t xml:space="preserve">인터넷 검색 ④ 체육시설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지도자 안내 ⑤ 지인 추천 ⑥ 기타</t>
    </r>
  </si>
  <si>
    <t xml:space="preserve">거수</t>
  </si>
  <si>
    <r>
      <rPr>
        <sz val="10"/>
        <rFont val="WenQuanYi Zen Hei"/>
        <family val="2"/>
      </rPr>
      <t xml:space="preserve">〔도입 경로〕 ①</t>
    </r>
    <r>
      <rPr>
        <sz val="10"/>
        <rFont val="맑은 고딕"/>
        <family val="0"/>
        <charset val="1"/>
      </rPr>
      <t xml:space="preserve">~⑥ → </t>
    </r>
    <r>
      <rPr>
        <sz val="10"/>
        <rFont val="WenQuanYi Zen Hei"/>
        <family val="2"/>
      </rPr>
      <t xml:space="preserve">인원</t>
    </r>
  </si>
  <si>
    <r>
      <rPr>
        <sz val="10"/>
        <rFont val="WenQuanYi Zen Hei"/>
        <family val="2"/>
      </rPr>
      <t xml:space="preserve">오거나이저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인원 수 기록 → 스크립터 공유</t>
    </r>
  </si>
  <si>
    <r>
      <rPr>
        <sz val="10"/>
        <rFont val="WenQuanYi Zen Hei"/>
        <family val="2"/>
      </rPr>
      <t xml:space="preserve">가입 전 민간 보험사 상품과 비교해 보셨습니까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비교한 경우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재단 상품을 선택한 결정적 이유는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</si>
  <si>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도입 채널과 그 채널을 선택한 이유는 무엇입니까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온라인 직접 가입 ② 소속 단체 일괄 가입 ③ 전화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오프라인 가입</t>
    </r>
  </si>
  <si>
    <r>
      <rPr>
        <b val="true"/>
        <sz val="10"/>
        <rFont val="WenQuanYi Zen Hei"/>
        <family val="2"/>
      </rPr>
      <t xml:space="preserve">가입 절차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</si>
  <si>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▶ 가입 절차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 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</si>
  <si>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가입 절차는 전반적으로 어땠습니까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간편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번거로웠다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</si>
  <si>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무심사 가입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병력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부상 이력 무관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편의성을 실제로 체감하셨습니까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</si>
  <si>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가입 과정에서 중단하고 싶었거나 불편했던 순간이 있었습니까</t>
    </r>
    <r>
      <rPr>
        <sz val="10"/>
        <rFont val="맑은 고딕"/>
        <family val="0"/>
        <charset val="1"/>
      </rPr>
      <t xml:space="preserve">? — </t>
    </r>
    <r>
      <rPr>
        <sz val="10"/>
        <rFont val="WenQuanYi Zen Hei"/>
        <family val="2"/>
      </rPr>
      <t xml:space="preserve">구체적 에피소드로 청취</t>
    </r>
  </si>
  <si>
    <t xml:space="preserve">송출</t>
  </si>
  <si>
    <r>
      <rPr>
        <sz val="10"/>
        <rFont val="WenQuanYi Zen Hei"/>
        <family val="2"/>
      </rPr>
      <t xml:space="preserve">인터뷰룸 모니터에 재단 홈페이지 가입 화면을 띄운다</t>
    </r>
    <r>
      <rPr>
        <sz val="10"/>
        <rFont val="맑은 고딕"/>
        <family val="0"/>
        <charset val="1"/>
      </rPr>
      <t xml:space="preserve">.</t>
    </r>
  </si>
  <si>
    <t xml:space="preserve">재단 홈페이지 가입 화면</t>
  </si>
  <si>
    <r>
      <rPr>
        <sz val="10"/>
        <rFont val="WenQuanYi Zen Hei"/>
        <family val="2"/>
      </rPr>
      <t xml:space="preserve">기술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인터뷰룸 모니터 전환</t>
    </r>
  </si>
  <si>
    <r>
      <rPr>
        <sz val="10"/>
        <rFont val="WenQuanYi Zen Hei"/>
        <family val="2"/>
      </rPr>
      <t xml:space="preserve">온라인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모바일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가입 화면과 소요시간은 적절했습니까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</si>
  <si>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인터뷰룸 모니터에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상담 화면을 띄운다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</si>
  <si>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상담 화면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</si>
  <si>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상담 서비스를 이용해 보셨습니까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경험은 어땠습니까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</si>
  <si>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콜센터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고객센터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</si>
  <si>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▶ 콜센터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고객센터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B </t>
    </r>
    <r>
      <rPr>
        <b val="true"/>
        <sz val="10"/>
        <rFont val="WenQuanYi Zen Hei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 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</si>
  <si>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문의할 때 주로 어떤 채널을 이용하십니까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콜센터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전화</t>
    </r>
    <r>
      <rPr>
        <sz val="10"/>
        <rFont val="맑은 고딕"/>
        <family val="0"/>
        <charset val="1"/>
      </rPr>
      <t xml:space="preserve">) ② </t>
    </r>
    <r>
      <rPr>
        <sz val="10"/>
        <rFont val="WenQuanYi Zen Hei"/>
        <family val="2"/>
      </rPr>
      <t xml:space="preserve">이메일 ③ 홈페이지 온라인 문의 ④ 경험 없음</t>
    </r>
  </si>
  <si>
    <r>
      <rPr>
        <sz val="10"/>
        <rFont val="WenQuanYi Zen Hei"/>
        <family val="2"/>
      </rPr>
      <t xml:space="preserve">〔문의 채널〕 ①</t>
    </r>
    <r>
      <rPr>
        <sz val="10"/>
        <rFont val="맑은 고딕"/>
        <family val="0"/>
        <charset val="1"/>
      </rPr>
      <t xml:space="preserve">~④ → </t>
    </r>
    <r>
      <rPr>
        <sz val="10"/>
        <rFont val="WenQuanYi Zen Hei"/>
        <family val="2"/>
      </rPr>
      <t xml:space="preserve">인원</t>
    </r>
  </si>
  <si>
    <r>
      <rPr>
        <sz val="10"/>
        <rFont val="WenQuanYi Zen Hei"/>
        <family val="2"/>
      </rPr>
      <t xml:space="preserve">그 채널을 고르는 기준은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</si>
  <si>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직원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상담원 응대와 상담 품질은 어땠습니까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기억에 남는 좋았던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아쉬웠던 상담이 있습니까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</si>
  <si>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상품 정보 이해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C </t>
    </r>
    <r>
      <rPr>
        <b val="true"/>
        <sz val="10"/>
        <rFont val="WenQuanYi Zen Hei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</si>
  <si>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▶ 상품 정보 이해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C </t>
    </r>
    <r>
      <rPr>
        <b val="true"/>
        <sz val="10"/>
        <rFont val="WenQuanYi Zen Hei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 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</si>
  <si>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상품 정보는 주로 어디에서 얻으십니까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재단 홈페이지 ② 콜센터 ③ 소속 단체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담당자 ④ 가입 시 안내자료 ⑤ 지인</t>
    </r>
  </si>
  <si>
    <r>
      <rPr>
        <sz val="10"/>
        <rFont val="WenQuanYi Zen Hei"/>
        <family val="2"/>
      </rPr>
      <t xml:space="preserve">홈페이지 등에서 정보를 찾다가 어려웠거나 포기했던 경험이 있습니까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어떤 정보였습니까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</si>
  <si>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가입한 상품의 보장 내용을 얼마나 정확히 알고 계십니까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</si>
  <si>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재단의 여러 서비스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상품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간에 헷갈렸던 경험이 있습니까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어떤 부분이 혼동됩니까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</si>
  <si>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상품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회비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</si>
  <si>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▶ 상품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회비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D </t>
    </r>
    <r>
      <rPr>
        <b val="true"/>
        <sz val="10"/>
        <rFont val="WenQuanYi Zen Hei"/>
        <family val="2"/>
      </rPr>
      <t xml:space="preserve">연동</t>
    </r>
    <r>
      <rPr>
        <b val="true"/>
        <sz val="10"/>
        <rFont val="맑은 고딕"/>
        <family val="0"/>
        <charset val="1"/>
      </rPr>
      <t xml:space="preserve">) 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</si>
  <si>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가장 만족하는 보장은 무엇입니까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치료비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배상책임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통원 일당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골절 특화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실손 중복보상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</si>
  <si>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보장되지 않아 불안한 위험이 있습니까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있다면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보장 공백 인식 청취</t>
    </r>
  </si>
  <si>
    <r>
      <rPr>
        <sz val="10"/>
        <rFont val="WenQuanYi Zen Hei"/>
        <family val="2"/>
      </rPr>
      <t xml:space="preserve">회비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공제료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수준은 어떻다고 느끼십니까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비싸다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적정하다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저렴하다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</si>
  <si>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〔회비 수준〕 비싸다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적정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저렴 → 인원</t>
    </r>
  </si>
  <si>
    <r>
      <rPr>
        <sz val="10"/>
        <rFont val="WenQuanYi Zen Hei"/>
        <family val="2"/>
      </rPr>
      <t xml:space="preserve">보상액 수준은 적정합니까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타 손해보험사 상품과 비교하면 어떻습니까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</si>
  <si>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보험금 청구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연동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청구 경험자 중심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</si>
  <si>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▶ 보험금 청구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정량 </t>
    </r>
    <r>
      <rPr>
        <b val="true"/>
        <sz val="10"/>
        <rFont val="맑은 고딕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연동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청구 경험자 중심</t>
    </r>
    <r>
      <rPr>
        <b val="true"/>
        <sz val="10"/>
        <rFont val="맑은 고딕"/>
        <family val="0"/>
        <charset val="1"/>
      </rPr>
      <t xml:space="preserve">) (20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</si>
  <si>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보상 청구 경험을 처음부터 끝까지 말씀해 주십시오</t>
    </r>
    <r>
      <rPr>
        <sz val="10"/>
        <rFont val="맑은 고딕"/>
        <family val="0"/>
        <charset val="1"/>
      </rPr>
      <t xml:space="preserve">. — </t>
    </r>
    <r>
      <rPr>
        <sz val="10"/>
        <rFont val="WenQuanYi Zen Hei"/>
        <family val="2"/>
      </rPr>
      <t xml:space="preserve">상담 → 접수 → 처리 과정 → 결과 수용 순으로 사례 청취</t>
    </r>
  </si>
  <si>
    <r>
      <rPr>
        <sz val="10"/>
        <rFont val="WenQuanYi Zen Hei"/>
        <family val="2"/>
      </rPr>
      <t xml:space="preserve">청구 과정에서 안내는 충분했습니까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부족하거나 헤매던 지점은 어디였습니까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</si>
  <si>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청구부터 지급까지 걸린 기간은 어떻게 체감하셨습니까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빨랐다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적당했다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오래 걸렸다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</si>
  <si>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청구 절차와 지급 과정에서 만족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불만 포인트는 무엇이었습니까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</si>
  <si>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보상 거절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불만 경험이 있습니까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</si>
  <si>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이의제기 절차가 있다는 것을 알고 계셨습니까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알고 있었다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몰랐다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</si>
  <si>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〔이의제기 절차 인지〕 알았다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몰랐다 → 인원</t>
    </r>
  </si>
  <si>
    <r>
      <rPr>
        <sz val="10"/>
        <rFont val="WenQuanYi Zen Hei"/>
        <family val="2"/>
      </rPr>
      <t xml:space="preserve">처리 이후 사후 안내는 충분했습니까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</si>
  <si>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제도 인식</t>
    </r>
  </si>
  <si>
    <r>
      <rPr>
        <b val="true"/>
        <sz val="10"/>
        <rFont val="WenQuanYi Zen Hei"/>
        <family val="2"/>
      </rPr>
      <t xml:space="preserve">▶ 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제도 인식 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</si>
  <si>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「생활체육진흥법」 제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「체육인 복지법」 제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「체육시설의 설치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이용에 관한 법률」 제</t>
    </r>
    <r>
      <rPr>
        <sz val="10"/>
        <rFont val="맑은 고딕"/>
        <family val="0"/>
        <charset val="1"/>
      </rPr>
      <t xml:space="preserve">26</t>
    </r>
    <r>
      <rPr>
        <sz val="10"/>
        <rFont val="WenQuanYi Zen Hei"/>
        <family val="2"/>
      </rPr>
      <t xml:space="preserve">조 및 적용 대상의 「중대재해 처벌 등에 관한 법률」 등 스포츠 활동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시설의 보험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공제 가입과 안전책임 관련 제도를 어느 정도 알고 계십니까</t>
    </r>
    <r>
      <rPr>
        <sz val="10"/>
        <rFont val="맑은 고딕"/>
        <family val="0"/>
        <charset val="1"/>
      </rPr>
      <t xml:space="preserve">? — </t>
    </r>
    <r>
      <rPr>
        <sz val="10"/>
        <rFont val="WenQuanYi Zen Hei"/>
        <family val="2"/>
      </rPr>
      <t xml:space="preserve">법률별 거수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송출 전 응답 확정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</si>
  <si>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〔법령 인지 </t>
    </r>
    <r>
      <rPr>
        <sz val="10"/>
        <rFont val="맑은 고딕"/>
        <family val="0"/>
        <charset val="1"/>
      </rPr>
      <t xml:space="preserve">(4</t>
    </r>
    <r>
      <rPr>
        <sz val="10"/>
        <rFont val="WenQuanYi Zen Hei"/>
        <family val="2"/>
      </rPr>
      <t xml:space="preserve">개 법령 각각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〕 ① 내용까지 안다 ② 들어봤다 ③ 처음 듣는다 → 인원</t>
    </r>
  </si>
  <si>
    <r>
      <rPr>
        <sz val="10"/>
        <rFont val="WenQuanYi Zen Hei"/>
        <family val="2"/>
      </rPr>
      <t xml:space="preserve">생활체육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전문체육 대회나 강습을 개최할 때 재난안전의무보험 가입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대인 담보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 원 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이 법으로 의무화되어 있다는 것을 알고 계십니까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가입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대인 </t>
    </r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억 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까지 알고 있다 ② 의무라는 것만 들어봤다 ③ 처음 듣는다</t>
    </r>
  </si>
  <si>
    <r>
      <rPr>
        <sz val="10"/>
        <rFont val="WenQuanYi Zen Hei"/>
        <family val="2"/>
      </rPr>
      <t xml:space="preserve">〔재난안전의무보험 기준 인지〕 ① </t>
    </r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억까지 안다 ② 의무만 들어봤다 ③ 처음 듣는다 → 인원</t>
    </r>
  </si>
  <si>
    <r>
      <rPr>
        <sz val="10"/>
        <rFont val="WenQuanYi Zen Hei"/>
        <family val="2"/>
      </rPr>
      <t xml:space="preserve">인터뷰룸 모니터에 법령 안내 슬라이드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장을 띄운다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인지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거수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슬라이드 송출 → 경험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의견 청취 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사실 전달에 한정하고 법령 해석 요구 시 재단 고객상담</t>
    </r>
    <r>
      <rPr>
        <sz val="10"/>
        <rFont val="맑은 고딕"/>
        <family val="0"/>
        <charset val="1"/>
      </rPr>
      <t xml:space="preserve">(1899-0547) </t>
    </r>
    <r>
      <rPr>
        <sz val="10"/>
        <rFont val="WenQuanYi Zen Hei"/>
        <family val="2"/>
      </rPr>
      <t xml:space="preserve">안내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</si>
  <si>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법령 안내 슬라이드 </t>
    </r>
    <r>
      <rPr>
        <sz val="10"/>
        <rFont val="맑은 고딕"/>
        <family val="0"/>
        <charset val="1"/>
      </rPr>
      <t xml:space="preserve">(https://docs.google.com/presentation/d/1qNKAob6CdE12D9baQVkZxUtktVQAWlEgfi2QJ_5gaso/edit)</t>
    </r>
  </si>
  <si>
    <r>
      <rPr>
        <sz val="10"/>
        <rFont val="WenQuanYi Zen Hei"/>
        <family val="2"/>
      </rPr>
      <t xml:space="preserve">의무가입 제도에 대해 어떻게 인식하십니까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</si>
  <si>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행사 주최 경험자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주최자배상책임공제의 대인 담보 한도를 어떤 기준으로 정하셨습니까</t>
    </r>
    <r>
      <rPr>
        <sz val="10"/>
        <rFont val="맑은 고딕"/>
        <family val="0"/>
        <charset val="1"/>
      </rPr>
      <t xml:space="preserve">? 1</t>
    </r>
    <r>
      <rPr>
        <sz val="10"/>
        <rFont val="WenQuanYi Zen Hei"/>
        <family val="2"/>
      </rPr>
      <t xml:space="preserve">억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 원 이상 요건을 확인하고 가입하셨습니까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</si>
  <si>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이 의무가입 기준이 현장에서 잘 지켜지고 있다고 보십니까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지키기 어렵게 만드는 요인은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</si>
  <si>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체육시설 관리자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대회 운영자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관련 법령상 의무가 실제 가입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운영 결정에 어떤 영향을 미치며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준수 과정에서 필요한 지원은 무엇입니까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</si>
  <si>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종합</t>
    </r>
    <r>
      <rPr>
        <b val="true"/>
        <sz val="10"/>
        <rFont val="맑은 고딕"/>
        <family val="0"/>
        <charset val="1"/>
      </rPr>
      <t xml:space="preserve">·NPS·</t>
    </r>
    <r>
      <rPr>
        <b val="true"/>
        <sz val="10"/>
        <rFont val="WenQuanYi Zen Hei"/>
        <family val="2"/>
      </rPr>
      <t xml:space="preserve">신규 수요</t>
    </r>
  </si>
  <si>
    <r>
      <rPr>
        <b val="true"/>
        <sz val="10"/>
        <rFont val="WenQuanYi Zen Hei"/>
        <family val="2"/>
      </rPr>
      <t xml:space="preserve">▶ 종합</t>
    </r>
    <r>
      <rPr>
        <b val="true"/>
        <sz val="10"/>
        <rFont val="맑은 고딕"/>
        <family val="0"/>
        <charset val="1"/>
      </rPr>
      <t xml:space="preserve">·NPS·</t>
    </r>
    <r>
      <rPr>
        <b val="true"/>
        <sz val="10"/>
        <rFont val="WenQuanYi Zen Hei"/>
        <family val="2"/>
      </rPr>
      <t xml:space="preserve">신규 수요 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</si>
  <si>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재가입 의향이 있으십니까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반드시 재가입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아마 재가입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잘 모르겠다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의향 없다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</si>
  <si>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〔재가입 의향〕 반드시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아마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모르겠다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없다 → 인원</t>
    </r>
  </si>
  <si>
    <r>
      <rPr>
        <sz val="10"/>
        <rFont val="WenQuanYi Zen Hei"/>
        <family val="2"/>
      </rPr>
      <t xml:space="preserve">주변에 추천할 의향을 </t>
    </r>
    <r>
      <rPr>
        <sz val="10"/>
        <rFont val="맑은 고딕"/>
        <family val="0"/>
        <charset val="1"/>
      </rPr>
      <t xml:space="preserve">0~10</t>
    </r>
    <r>
      <rPr>
        <sz val="10"/>
        <rFont val="WenQuanYi Zen Hei"/>
        <family val="2"/>
      </rPr>
      <t xml:space="preserve">점으로 매긴다면 몇 점입니까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그 점수를 준 이유는 무엇입니까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계속 선택하게 하는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또는 떠나게 만들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가장 큰 이유 한 가지는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</si>
  <si>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〔</t>
    </r>
    <r>
      <rPr>
        <sz val="10"/>
        <rFont val="맑은 고딕"/>
        <family val="0"/>
        <charset val="1"/>
      </rPr>
      <t xml:space="preserve">NPS 0~10</t>
    </r>
    <r>
      <rPr>
        <sz val="10"/>
        <rFont val="WenQuanYi Zen Hei"/>
        <family val="2"/>
      </rPr>
      <t xml:space="preserve">〕 참석자별 점수를 그대로 적는다 </t>
    </r>
    <r>
      <rPr>
        <sz val="10"/>
        <rFont val="맑은 고딕"/>
        <family val="0"/>
        <charset val="1"/>
      </rPr>
      <t xml:space="preserve">(P1~P8)</t>
    </r>
  </si>
  <si>
    <r>
      <rPr>
        <sz val="10"/>
        <rFont val="WenQuanYi Zen Hei"/>
        <family val="2"/>
      </rPr>
      <t xml:space="preserve">이런 보장이 새로 생기면 가입 의향이 있는 것을 모두 골라 주십시오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하루 단위 소액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간편형 ② 상해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소득보전형 ③ 단기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이벤트성 활동 보장 ④ 비인기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고위험 종목 보장 확대</t>
    </r>
  </si>
  <si>
    <r>
      <rPr>
        <sz val="10"/>
        <rFont val="WenQuanYi Zen Hei"/>
        <family val="2"/>
      </rPr>
      <t xml:space="preserve">〔신규 담보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복수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〕 ①</t>
    </r>
    <r>
      <rPr>
        <sz val="10"/>
        <rFont val="맑은 고딕"/>
        <family val="0"/>
        <charset val="1"/>
      </rPr>
      <t xml:space="preserve">~④ → </t>
    </r>
    <r>
      <rPr>
        <sz val="10"/>
        <rFont val="WenQuanYi Zen Hei"/>
        <family val="2"/>
      </rPr>
      <t xml:space="preserve">인원</t>
    </r>
  </si>
  <si>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과거 이용 경험자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예전과 비교해 서비스가 나아졌다고 체감하는 부분이 있습니까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</si>
  <si>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딱 하나만 개선한다면 어느 영역이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순위입니까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가입 절차 ② 고객센터 ③ 상품 정보 ④ 보장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회비 ⑤ 보험금 청구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택</t>
    </r>
    <r>
      <rPr>
        <sz val="10"/>
        <rFont val="맑은 고딕"/>
        <family val="0"/>
        <charset val="1"/>
      </rPr>
      <t xml:space="preserve">1 </t>
    </r>
    <r>
      <rPr>
        <sz val="10"/>
        <rFont val="WenQuanYi Zen Hei"/>
        <family val="2"/>
      </rPr>
      <t xml:space="preserve">거수 후 이유 토의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</si>
  <si>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〔개선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순위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택</t>
    </r>
    <r>
      <rPr>
        <sz val="10"/>
        <rFont val="맑은 고딕"/>
        <family val="0"/>
        <charset val="1"/>
      </rPr>
      <t xml:space="preserve">1)</t>
    </r>
    <r>
      <rPr>
        <sz val="10"/>
        <rFont val="WenQuanYi Zen Hei"/>
        <family val="2"/>
      </rPr>
      <t xml:space="preserve">〕 ①</t>
    </r>
    <r>
      <rPr>
        <sz val="10"/>
        <rFont val="맑은 고딕"/>
        <family val="0"/>
        <charset val="1"/>
      </rPr>
      <t xml:space="preserve">~⑤ → </t>
    </r>
    <r>
      <rPr>
        <sz val="10"/>
        <rFont val="WenQuanYi Zen Hei"/>
        <family val="2"/>
      </rPr>
      <t xml:space="preserve">인원</t>
    </r>
  </si>
  <si>
    <t xml:space="preserve">마무리</t>
  </si>
  <si>
    <r>
      <rPr>
        <b val="true"/>
        <sz val="10"/>
        <rFont val="WenQuanYi Zen Hei"/>
        <family val="2"/>
      </rPr>
      <t xml:space="preserve">▶ 마무리 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</si>
  <si>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못다 한 의견을 자유롭게 말씀해 주십시오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</si>
  <si>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FGI </t>
    </r>
    <r>
      <rPr>
        <sz val="10"/>
        <rFont val="WenQuanYi Zen Hei"/>
        <family val="2"/>
      </rPr>
      <t xml:space="preserve">종료 후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영업일 이내 추가 서면 의견 접수 안내 — 제출 이메일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온라인 폼 링크와 기한을 읽어 준다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〔확인 필요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제출 채널 확정〕</t>
    </r>
  </si>
  <si>
    <t xml:space="preserve">사후 서면 의견서 안내문</t>
  </si>
  <si>
    <r>
      <rPr>
        <sz val="10"/>
        <rFont val="WenQuanYi Zen Hei"/>
        <family val="2"/>
      </rPr>
      <t xml:space="preserve">답례 안내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주차 안내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감사 인사</t>
    </r>
  </si>
  <si>
    <t xml:space="preserve">답례 지급 정보 서류</t>
  </si>
  <si>
    <t xml:space="preserve">종료 후</t>
  </si>
  <si>
    <r>
      <rPr>
        <sz val="10"/>
        <rFont val="WenQuanYi Zen Hei"/>
        <family val="2"/>
      </rPr>
      <t xml:space="preserve">녹화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녹음 종료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파일명 규칙에 따라 지정 폴더 저장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개인 기기 저장 금지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답례 지급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서류 회수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즉시 봉투 보관</t>
    </r>
    <r>
      <rPr>
        <sz val="10"/>
        <rFont val="맑은 고딕"/>
        <family val="0"/>
        <charset val="1"/>
      </rPr>
      <t xml:space="preserve">) / </t>
    </r>
    <r>
      <rPr>
        <sz val="10"/>
        <rFont val="WenQuanYi Zen Hei"/>
        <family val="2"/>
      </rPr>
      <t xml:space="preserve">사후 서면 의견 안내문 배부</t>
    </r>
  </si>
  <si>
    <r>
      <rPr>
        <sz val="10"/>
        <rFont val="WenQuanYi Zen Hei"/>
        <family val="2"/>
      </rPr>
      <t xml:space="preserve">종료</t>
    </r>
    <r>
      <rPr>
        <sz val="10"/>
        <rFont val="맑은 고딕"/>
        <family val="0"/>
        <charset val="1"/>
      </rPr>
      <t xml:space="preserve">+5</t>
    </r>
    <r>
      <rPr>
        <sz val="10"/>
        <rFont val="WenQuanYi Zen Hei"/>
        <family val="2"/>
      </rPr>
      <t xml:space="preserve">분</t>
    </r>
  </si>
  <si>
    <t xml:space="preserve">종료 직후 정리</t>
  </si>
  <si>
    <r>
      <rPr>
        <sz val="10"/>
        <rFont val="맑은 고딕"/>
        <family val="0"/>
        <charset val="1"/>
      </rPr>
      <t xml:space="preserve">Key Findings 3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인용 발언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번호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시각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정량조사와 상이한 지점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차기 회차 보완 사항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질문 순서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시간 배분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송출 자료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기입</t>
    </r>
  </si>
  <si>
    <r>
      <rPr>
        <sz val="10"/>
        <rFont val="맑은 고딕"/>
        <family val="0"/>
        <charset val="1"/>
      </rPr>
      <t xml:space="preserve">PM </t>
    </r>
    <r>
      <rPr>
        <sz val="10"/>
        <rFont val="WenQuanYi Zen Hei"/>
        <family val="2"/>
      </rPr>
      <t xml:space="preserve">주관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전원</t>
    </r>
  </si>
  <si>
    <r>
      <rPr>
        <sz val="10"/>
        <rFont val="WenQuanYi Zen Hei"/>
        <family val="2"/>
      </rPr>
      <t xml:space="preserve">종료</t>
    </r>
    <r>
      <rPr>
        <sz val="10"/>
        <rFont val="맑은 고딕"/>
        <family val="0"/>
        <charset val="1"/>
      </rPr>
      <t xml:space="preserve">+30</t>
    </r>
    <r>
      <rPr>
        <sz val="10"/>
        <rFont val="WenQuanYi Zen Hei"/>
        <family val="2"/>
      </rPr>
      <t xml:space="preserve">분</t>
    </r>
  </si>
  <si>
    <t xml:space="preserve">철수</t>
  </si>
  <si>
    <r>
      <rPr>
        <sz val="10"/>
        <rFont val="WenQuanYi Zen Hei"/>
        <family val="2"/>
      </rPr>
      <t xml:space="preserve">패킹리스트 ‘도착’ 역순 확인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원상 복구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퇴실</t>
    </r>
  </si>
  <si>
    <t xml:space="preserve">전원</t>
  </si>
  <si>
    <r>
      <rPr>
        <b val="true"/>
        <sz val="10"/>
        <rFont val="WenQuanYi Zen Hei"/>
        <family val="2"/>
      </rPr>
      <t xml:space="preserve">파트 소요 합계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</si>
  <si>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t xml:space="preserve">예정 종료</t>
  </si>
  <si>
    <r>
      <rPr>
        <i val="true"/>
        <sz val="9"/>
        <color rgb="FF595959"/>
        <rFont val="WenQuanYi Zen Hei"/>
        <family val="2"/>
      </rPr>
      <t xml:space="preserve">범례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회색</t>
    </r>
    <r>
      <rPr>
        <i val="true"/>
        <sz val="9"/>
        <color rgb="FF595959"/>
        <rFont val="맑은 고딕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당일 준비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파란 굵은 행</t>
    </r>
    <r>
      <rPr>
        <i val="true"/>
        <sz val="9"/>
        <color rgb="FF595959"/>
        <rFont val="맑은 고딕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파트 헤더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소요 분은 파란 글씨 입력값</t>
    </r>
    <r>
      <rPr>
        <i val="true"/>
        <sz val="9"/>
        <color rgb="FF595959"/>
        <rFont val="맑은 고딕"/>
        <family val="0"/>
        <charset val="1"/>
      </rPr>
      <t xml:space="preserve">) · </t>
    </r>
    <r>
      <rPr>
        <i val="true"/>
        <sz val="9"/>
        <color rgb="FF595959"/>
        <rFont val="WenQuanYi Zen Hei"/>
        <family val="2"/>
      </rPr>
      <t xml:space="preserve">하늘색</t>
    </r>
    <r>
      <rPr>
        <i val="true"/>
        <sz val="9"/>
        <color rgb="FF595959"/>
        <rFont val="맑은 고딕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송출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노랑</t>
    </r>
    <r>
      <rPr>
        <i val="true"/>
        <sz val="9"/>
        <color rgb="FF595959"/>
        <rFont val="맑은 고딕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거수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연두</t>
    </r>
    <r>
      <rPr>
        <i val="true"/>
        <sz val="9"/>
        <color rgb="FF595959"/>
        <rFont val="맑은 고딕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평가지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주황</t>
    </r>
    <r>
      <rPr>
        <i val="true"/>
        <sz val="9"/>
        <color rgb="FF595959"/>
        <rFont val="맑은 고딕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종료 후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시각은 </t>
    </r>
    <r>
      <rPr>
        <i val="true"/>
        <sz val="9"/>
        <color rgb="FF595959"/>
        <rFont val="맑은 고딕"/>
        <family val="0"/>
        <charset val="1"/>
      </rPr>
      <t xml:space="preserve">C4 </t>
    </r>
    <r>
      <rPr>
        <i val="true"/>
        <sz val="9"/>
        <color rgb="FF595959"/>
        <rFont val="WenQuanYi Zen Hei"/>
        <family val="2"/>
      </rPr>
      <t xml:space="preserve">시작 시각에서 자동 계산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</si>
  <si>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스포츠안전재단 </t>
    </r>
    <r>
      <rPr>
        <i val="true"/>
        <sz val="9"/>
        <color rgb="FF595959"/>
        <rFont val="맑은 고딕"/>
        <family val="0"/>
        <charset val="1"/>
      </rPr>
      <t xml:space="preserve">FGI </t>
    </r>
    <r>
      <rPr>
        <i val="true"/>
        <sz val="9"/>
        <color rgb="FF595959"/>
        <rFont val="WenQuanYi Zen Hei"/>
        <family val="2"/>
      </rPr>
      <t xml:space="preserve">실행계획안 및 진행 시나리오 </t>
    </r>
    <r>
      <rPr>
        <i val="true"/>
        <sz val="9"/>
        <color rgb="FF595959"/>
        <rFont val="맑은 고딕"/>
        <family val="0"/>
        <charset val="1"/>
      </rPr>
      <t xml:space="preserve">v0.9.1(2026-09-05), </t>
    </r>
    <r>
      <rPr>
        <i val="true"/>
        <sz val="9"/>
        <color rgb="FF595959"/>
        <rFont val="WenQuanYi Zen Hei"/>
        <family val="2"/>
      </rPr>
      <t xml:space="preserve">회차별 현장 기록 문서 </t>
    </r>
    <r>
      <rPr>
        <i val="true"/>
        <sz val="9"/>
        <color rgb="FF595959"/>
        <rFont val="맑은 고딕"/>
        <family val="0"/>
        <charset val="1"/>
      </rPr>
      <t xml:space="preserve">v0.7, </t>
    </r>
    <r>
      <rPr>
        <i val="true"/>
        <sz val="9"/>
        <color rgb="FF595959"/>
        <rFont val="WenQuanYi Zen Hei"/>
        <family val="2"/>
      </rPr>
      <t xml:space="preserve">클라이언트 추가요구사항</t>
    </r>
    <r>
      <rPr>
        <i val="true"/>
        <sz val="9"/>
        <color rgb="FF595959"/>
        <rFont val="맑은 고딕"/>
        <family val="0"/>
        <charset val="1"/>
      </rPr>
      <t xml:space="preserve">(2026-09-03).</t>
    </r>
  </si>
  <si>
    <r>
      <rPr>
        <b val="true"/>
        <sz val="14"/>
        <rFont val="맑은 고딕"/>
        <family val="0"/>
        <charset val="1"/>
      </rPr>
      <t xml:space="preserve">[</t>
    </r>
    <r>
      <rPr>
        <b val="true"/>
        <sz val="14"/>
        <rFont val="WenQuanYi Zen Hei"/>
        <family val="2"/>
      </rPr>
      <t xml:space="preserve">그룹 </t>
    </r>
    <r>
      <rPr>
        <b val="true"/>
        <sz val="14"/>
        <rFont val="맑은 고딕"/>
        <family val="0"/>
        <charset val="1"/>
      </rPr>
      <t xml:space="preserve">2 · </t>
    </r>
    <r>
      <rPr>
        <b val="true"/>
        <sz val="14"/>
        <rFont val="WenQuanYi Zen Hei"/>
        <family val="2"/>
      </rPr>
      <t xml:space="preserve">사업협력 단체</t>
    </r>
    <r>
      <rPr>
        <b val="true"/>
        <sz val="14"/>
        <rFont val="맑은 고딕"/>
        <family val="0"/>
        <charset val="1"/>
      </rPr>
      <t xml:space="preserve">] </t>
    </r>
    <r>
      <rPr>
        <b val="true"/>
        <sz val="14"/>
        <rFont val="WenQuanYi Zen Hei"/>
        <family val="2"/>
      </rPr>
      <t xml:space="preserve">스포츠안전재단 손해구제 서비스 </t>
    </r>
    <r>
      <rPr>
        <b val="true"/>
        <sz val="14"/>
        <rFont val="맑은 고딕"/>
        <family val="0"/>
        <charset val="1"/>
      </rPr>
      <t xml:space="preserve">FGI </t>
    </r>
    <r>
      <rPr>
        <b val="true"/>
        <sz val="14"/>
        <rFont val="WenQuanYi Zen Hei"/>
        <family val="2"/>
      </rPr>
      <t xml:space="preserve">큐시트</t>
    </r>
  </si>
  <si>
    <r>
      <rPr>
        <sz val="10"/>
        <rFont val="맑은 고딕"/>
        <family val="0"/>
        <charset val="1"/>
      </rPr>
      <t xml:space="preserve">2026-09-08(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스포츠안전재단 교육장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서울 송파구 올림픽로 </t>
    </r>
    <r>
      <rPr>
        <sz val="10"/>
        <rFont val="맑은 고딕"/>
        <family val="0"/>
        <charset val="1"/>
      </rPr>
      <t xml:space="preserve">424, </t>
    </r>
    <r>
      <rPr>
        <sz val="10"/>
        <rFont val="WenQuanYi Zen Hei"/>
        <family val="2"/>
      </rPr>
      <t xml:space="preserve">올림픽공원 테니스경기장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</si>
  <si>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대한체육회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시도체육회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종목단체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대학스포츠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장애인체육 등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현장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서면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</si>
  <si>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사업명 변경 안내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재단 서비스 특장점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 슬라이드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직후 </t>
    </r>
    <r>
      <rPr>
        <sz val="10"/>
        <rFont val="맑은 고딕"/>
        <family val="0"/>
        <charset val="1"/>
      </rPr>
      <t xml:space="preserve">G2-10·11 </t>
    </r>
    <r>
      <rPr>
        <sz val="10"/>
        <rFont val="WenQuanYi Zen Hei"/>
        <family val="2"/>
      </rPr>
      <t xml:space="preserve">평가지 작성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회수</t>
    </r>
  </si>
  <si>
    <r>
      <rPr>
        <sz val="10"/>
        <rFont val="WenQuanYi Zen Hei"/>
        <family val="2"/>
      </rPr>
      <t xml:space="preserve">특장점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 슬라이드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법령 안내 슬라이드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법령 슬라이드</t>
    </r>
    <r>
      <rPr>
        <sz val="10"/>
        <rFont val="맑은 고딕"/>
        <family val="0"/>
        <charset val="1"/>
      </rPr>
      <t xml:space="preserve">: https://docs.google.com/presentation/d/1qNKAob6CdE12D9baQVkZxUtktVQAWlEgfi2QJ_5gaso/edit</t>
    </r>
  </si>
  <si>
    <r>
      <rPr>
        <sz val="10"/>
        <rFont val="WenQuanYi Zen Hei"/>
        <family val="2"/>
      </rPr>
      <t xml:space="preserve">재단 서비스 특장점 브리핑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) — ① </t>
    </r>
    <r>
      <rPr>
        <sz val="10"/>
        <rFont val="WenQuanYi Zen Hei"/>
        <family val="2"/>
      </rPr>
      <t xml:space="preserve">종목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장애 여부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병력 유무 등에 따른 가입 거절 없음 ② 개인 실손보험 등과 중복 보상 가능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배상책임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실비 담보는 비례보상</t>
    </r>
    <r>
      <rPr>
        <sz val="10"/>
        <rFont val="맑은 고딕"/>
        <family val="0"/>
        <charset val="1"/>
      </rPr>
      <t xml:space="preserve">) ③ </t>
    </r>
    <r>
      <rPr>
        <sz val="10"/>
        <rFont val="WenQuanYi Zen Hei"/>
        <family val="2"/>
      </rPr>
      <t xml:space="preserve">생활체육인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전문체육인 전용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특화 담보 운영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주최 측 과실이 없는 운동 중 부상 치료비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배상책임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</si>
  <si>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특장점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 슬라이드</t>
    </r>
  </si>
  <si>
    <t xml:space="preserve">평가지</t>
  </si>
  <si>
    <r>
      <rPr>
        <sz val="10"/>
        <rFont val="WenQuanYi Zen Hei"/>
        <family val="2"/>
      </rPr>
      <t xml:space="preserve">특장점 브리핑 직후 </t>
    </r>
    <r>
      <rPr>
        <sz val="10"/>
        <rFont val="맑은 고딕"/>
        <family val="0"/>
        <charset val="1"/>
      </rPr>
      <t xml:space="preserve">G2-10·11 </t>
    </r>
    <r>
      <rPr>
        <sz val="10"/>
        <rFont val="WenQuanYi Zen Hei"/>
        <family val="2"/>
      </rPr>
      <t xml:space="preserve">평가지 작성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브리핑 전 작성한 응답은 수정하지 않음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</si>
  <si>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서면 평가지 </t>
    </r>
    <r>
      <rPr>
        <sz val="10"/>
        <rFont val="맑은 고딕"/>
        <family val="0"/>
        <charset val="1"/>
      </rPr>
      <t xml:space="preserve">G2-10·11</t>
    </r>
  </si>
  <si>
    <r>
      <rPr>
        <sz val="10"/>
        <rFont val="WenQuanYi Zen Hei"/>
        <family val="2"/>
      </rPr>
      <t xml:space="preserve">등록관리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배부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회수 후 봉투 보관</t>
    </r>
  </si>
  <si>
    <t xml:space="preserve">협업 경험</t>
  </si>
  <si>
    <r>
      <rPr>
        <b val="true"/>
        <sz val="10"/>
        <rFont val="WenQuanYi Zen Hei"/>
        <family val="2"/>
      </rPr>
      <t xml:space="preserve">▶ 협업 경험 </t>
    </r>
    <r>
      <rPr>
        <b val="true"/>
        <sz val="10"/>
        <rFont val="맑은 고딕"/>
        <family val="0"/>
        <charset val="1"/>
      </rPr>
      <t xml:space="preserve">(20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</si>
  <si>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재단과의 업무 협조는 어떤 방식으로 이루어지고 있습니까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</si>
  <si>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재단과의 협업에 전반적으로 만족하십니까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만족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아쉽다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만족스러운 부분과 아쉬운 부분은 각각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</si>
  <si>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〔협업 만족〕 만족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아쉽다 → 인원</t>
    </r>
  </si>
  <si>
    <r>
      <rPr>
        <sz val="10"/>
        <rFont val="WenQuanYi Zen Hei"/>
        <family val="2"/>
      </rPr>
      <t xml:space="preserve">정보 공유 체계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데이터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정책 방향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어떻게 평가하십니까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</si>
  <si>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협력 단체 입장에서 바라보는 재단 서비스의 역할과 한계는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</si>
  <si>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위 특장점 중 협력단체와 현장 이용자에게 가장 실질적인 가치는 무엇이며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기대와 실제 운영 사이 차이는 무엇입니까</t>
    </r>
    <r>
      <rPr>
        <sz val="10"/>
        <rFont val="맑은 고딕"/>
        <family val="0"/>
        <charset val="1"/>
      </rPr>
      <t xml:space="preserve">?</t>
    </r>
  </si>
  <si>
    <t xml:space="preserve">제도 연계</t>
  </si>
  <si>
    <r>
      <rPr>
        <b val="true"/>
        <sz val="10"/>
        <rFont val="WenQuanYi Zen Hei"/>
        <family val="2"/>
      </rPr>
      <t xml:space="preserve">▶ 제도 연계 </t>
    </r>
    <r>
      <rPr>
        <b val="true"/>
        <sz val="10"/>
        <rFont val="맑은 고딕"/>
        <family val="0"/>
        <charset val="1"/>
      </rPr>
      <t xml:space="preserve">(20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</si>
  <si>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공제 가입과 안전책임 관련 제도가 현장 업무에 미치는 영향과 이행상 애로는 무엇입니까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복수 선택</t>
    </r>
    <r>
      <rPr>
        <sz val="10"/>
        <rFont val="맑은 고딕"/>
        <family val="0"/>
        <charset val="1"/>
      </rPr>
      <t xml:space="preserve">) ① </t>
    </r>
    <r>
      <rPr>
        <sz val="10"/>
        <rFont val="WenQuanYi Zen Hei"/>
        <family val="2"/>
      </rPr>
      <t xml:space="preserve">대상 파악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관리의 어려움 ② 예산 부담 ③ 행정 절차의 복잡함 ④ 현장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회원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의 인식 부족 ⑤ 안내자료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지원 부족</t>
    </r>
  </si>
  <si>
    <r>
      <rPr>
        <sz val="10"/>
        <rFont val="WenQuanYi Zen Hei"/>
        <family val="2"/>
      </rPr>
      <t xml:space="preserve">〔의무 이행 애로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복수</t>
    </r>
    <r>
      <rPr>
        <sz val="10"/>
        <rFont val="맑은 고딕"/>
        <family val="0"/>
        <charset val="1"/>
      </rPr>
      <t xml:space="preserve">, 2</t>
    </r>
    <r>
      <rPr>
        <sz val="10"/>
        <rFont val="WenQuanYi Zen Hei"/>
        <family val="2"/>
      </rPr>
      <t xml:space="preserve">개까지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〕 ①</t>
    </r>
    <r>
      <rPr>
        <sz val="10"/>
        <rFont val="맑은 고딕"/>
        <family val="0"/>
        <charset val="1"/>
      </rPr>
      <t xml:space="preserve">~⑤ → </t>
    </r>
    <r>
      <rPr>
        <sz val="10"/>
        <rFont val="WenQuanYi Zen Hei"/>
        <family val="2"/>
      </rPr>
      <t xml:space="preserve">인원</t>
    </r>
  </si>
  <si>
    <r>
      <rPr>
        <sz val="10"/>
        <rFont val="WenQuanYi Zen Hei"/>
        <family val="2"/>
      </rPr>
      <t xml:space="preserve">구체적으로 어떤 상황에서 어려움을 겪으셨습니까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</si>
  <si>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제도와 현장 사이에 간극이 있다면 어떤 지점입니까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</si>
  <si>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생활체육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전문체육 대회 개최 시 재난안전의무보험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주최자배상책임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 원 이상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의무를 알고 계십니까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가입 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대인 </t>
    </r>
    <r>
      <rPr>
        <sz val="10"/>
        <rFont val="맑은 고딕"/>
        <family val="0"/>
        <charset val="1"/>
      </rPr>
      <t xml:space="preserve">1.5</t>
    </r>
    <r>
      <rPr>
        <sz val="10"/>
        <rFont val="WenQuanYi Zen Hei"/>
        <family val="2"/>
      </rPr>
      <t xml:space="preserve">억 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까지 알고 있다 ② 의무라는 것만 들어봤다 ③ 처음 듣는다</t>
    </r>
  </si>
  <si>
    <r>
      <rPr>
        <sz val="10"/>
        <rFont val="WenQuanYi Zen Hei"/>
        <family val="2"/>
      </rPr>
      <t xml:space="preserve">소속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산하 단체가 대회를 개최할 때 이 요건을 안내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확인하는 절차가 있습니까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현장의 실제 이행 수준은 어떻다고 보십니까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</si>
  <si>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〔안내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확인 절차 유무〕 ① 공식 ② 일부 ③ 비공식 ④ 없다 ⑤ 모름 → 인원</t>
    </r>
  </si>
  <si>
    <r>
      <rPr>
        <sz val="10"/>
        <rFont val="WenQuanYi Zen Hei"/>
        <family val="2"/>
      </rPr>
      <t xml:space="preserve">미가입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과소가입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대인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 원 미만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줄이기 위해 재단과 협력단체가 함께 해야 할 일은 무엇입니까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</si>
  <si>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회원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산하단체 안내</t>
    </r>
  </si>
  <si>
    <r>
      <rPr>
        <b val="true"/>
        <sz val="10"/>
        <rFont val="WenQuanYi Zen Hei"/>
        <family val="2"/>
      </rPr>
      <t xml:space="preserve">▶ 회원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산하단체 안내 </t>
    </r>
    <r>
      <rPr>
        <b val="true"/>
        <sz val="10"/>
        <rFont val="맑은 고딕"/>
        <family val="0"/>
        <charset val="1"/>
      </rPr>
      <t xml:space="preserve">(20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</si>
  <si>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소속 회원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산하 단체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소속 선수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에게 공제 가입을 권유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안내할 때 반응은 대체로 어떻습니까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호의적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무관심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부정적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</si>
  <si>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안내 과정에서 어떤 어려움이 있습니까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절차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설명 난이도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</si>
  <si>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재단 홍보자료는 현장에서 도움이 됩니까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도움이 된다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도움이 안 된다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</si>
  <si>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〔홍보자료 실효성〕 도움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보통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안 됨 → 인원</t>
    </r>
  </si>
  <si>
    <r>
      <rPr>
        <sz val="10"/>
        <rFont val="WenQuanYi Zen Hei"/>
        <family val="2"/>
      </rPr>
      <t xml:space="preserve">홍보자료가 어떻게 바뀌면 좋겠습니까</t>
    </r>
    <r>
      <rPr>
        <sz val="10"/>
        <rFont val="맑은 고딕"/>
        <family val="0"/>
        <charset val="1"/>
      </rPr>
      <t xml:space="preserve">?</t>
    </r>
  </si>
  <si>
    <t xml:space="preserve">정책적 역할</t>
  </si>
  <si>
    <r>
      <rPr>
        <b val="true"/>
        <sz val="10"/>
        <rFont val="WenQuanYi Zen Hei"/>
        <family val="2"/>
      </rPr>
      <t xml:space="preserve">▶ 정책적 역할 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</si>
  <si>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민간 손해보험사 대비 재단 공제가 ‘보장 공백 해소’ 역할을 얼마나 수행하고 있다고 평가하십니까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</si>
  <si>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공공 영역에서 재단이 더 맡거나 내려놓아야 할 역할이 있습니까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</si>
  <si>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지자체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공공기관과 연계한 서비스 확대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시민안전보험 연계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지역 행사 안전관리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에 대해 어떻게 보십니까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</si>
  <si>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개선 제안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협력 확대</t>
    </r>
  </si>
  <si>
    <r>
      <rPr>
        <b val="true"/>
        <sz val="10"/>
        <rFont val="WenQuanYi Zen Hei"/>
        <family val="2"/>
      </rPr>
      <t xml:space="preserve">▶ 개선 제안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협력 확대 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</si>
  <si>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협력단체 관점에서 확대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개선 우선순위를 꼽는다면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</si>
  <si>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향후 재단과의 협력을 확대할 의향이 있습니까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확대 의향 있다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현 수준 유지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판단 유보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확대한다면 어떤 조건이 갖춰져야 합니까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</si>
  <si>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〔협력 확대 의향〕 확대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현 수준 유지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유보 → 인원</t>
    </r>
  </si>
  <si>
    <r>
      <rPr>
        <sz val="10"/>
        <rFont val="WenQuanYi Zen Hei"/>
        <family val="2"/>
      </rPr>
      <t xml:space="preserve">안내드린 특장점과 현재 보장 내용을 기준으로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현장에서 체감하는 부족한 부분은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</si>
  <si>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기관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단체에서 근무하며 경험한 사례를 바탕으로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재단에 요구하고 싶은 사항과 필요한 지원은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</si>
  <si>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현장 수요 관점에서 새로 개발이 필요한 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담보가 있다면 무엇입니까</t>
    </r>
    <r>
      <rPr>
        <sz val="10"/>
        <rFont val="맑은 고딕"/>
        <family val="0"/>
        <charset val="1"/>
      </rPr>
      <t xml:space="preserve">? — </t>
    </r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사고 유형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필요 보장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제공 방식까지 구체화</t>
    </r>
  </si>
  <si>
    <t xml:space="preserve">예비</t>
  </si>
  <si>
    <r>
      <rPr>
        <b val="true"/>
        <sz val="10"/>
        <rFont val="WenQuanYi Zen Hei"/>
        <family val="2"/>
      </rPr>
      <t xml:space="preserve">▶ 예비 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</si>
  <si>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〔확인 필요〕 계획안의 파트 합이 </t>
    </r>
    <r>
      <rPr>
        <sz val="10"/>
        <rFont val="맑은 고딕"/>
        <family val="0"/>
        <charset val="1"/>
      </rPr>
      <t xml:space="preserve">90</t>
    </r>
    <r>
      <rPr>
        <sz val="10"/>
        <rFont val="WenQuanYi Zen Hei"/>
        <family val="2"/>
      </rPr>
      <t xml:space="preserve">분이라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분이 남는다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클라이언트가 </t>
    </r>
    <r>
      <rPr>
        <sz val="10"/>
        <rFont val="맑은 고딕"/>
        <family val="0"/>
        <charset val="1"/>
      </rPr>
      <t xml:space="preserve">9/3</t>
    </r>
    <r>
      <rPr>
        <sz val="10"/>
        <rFont val="WenQuanYi Zen Hei"/>
        <family val="2"/>
      </rPr>
      <t xml:space="preserve">에 신규 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담보 의견 수렴을 강조했으므로 ‘개선 제안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협력 확대’에 붙여 </t>
    </r>
    <r>
      <rPr>
        <sz val="10"/>
        <rFont val="맑은 고딕"/>
        <family val="0"/>
        <charset val="1"/>
      </rPr>
      <t xml:space="preserve">25</t>
    </r>
    <r>
      <rPr>
        <sz val="10"/>
        <rFont val="WenQuanYi Zen Hei"/>
        <family val="2"/>
      </rPr>
      <t xml:space="preserve">분으로 운영하는 안을 권장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배분이 확정되면 이 행의 소요를 </t>
    </r>
    <r>
      <rPr>
        <sz val="10"/>
        <rFont val="맑은 고딕"/>
        <family val="0"/>
        <charset val="1"/>
      </rPr>
      <t xml:space="preserve">0</t>
    </r>
    <r>
      <rPr>
        <sz val="10"/>
        <rFont val="WenQuanYi Zen Hei"/>
        <family val="2"/>
      </rPr>
      <t xml:space="preserve">으로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해당 파트 소요에 </t>
    </r>
    <r>
      <rPr>
        <sz val="10"/>
        <rFont val="맑은 고딕"/>
        <family val="0"/>
        <charset val="1"/>
      </rPr>
      <t xml:space="preserve">+10.</t>
    </r>
  </si>
  <si>
    <r>
      <rPr>
        <b val="true"/>
        <sz val="14"/>
        <rFont val="맑은 고딕"/>
        <family val="0"/>
        <charset val="1"/>
      </rPr>
      <t xml:space="preserve">[</t>
    </r>
    <r>
      <rPr>
        <b val="true"/>
        <sz val="14"/>
        <rFont val="WenQuanYi Zen Hei"/>
        <family val="2"/>
      </rPr>
      <t xml:space="preserve">그룹 </t>
    </r>
    <r>
      <rPr>
        <b val="true"/>
        <sz val="14"/>
        <rFont val="맑은 고딕"/>
        <family val="0"/>
        <charset val="1"/>
      </rPr>
      <t xml:space="preserve">3 · </t>
    </r>
    <r>
      <rPr>
        <b val="true"/>
        <sz val="14"/>
        <rFont val="WenQuanYi Zen Hei"/>
        <family val="2"/>
      </rPr>
      <t xml:space="preserve">손해구제 전문가</t>
    </r>
    <r>
      <rPr>
        <b val="true"/>
        <sz val="14"/>
        <rFont val="맑은 고딕"/>
        <family val="0"/>
        <charset val="1"/>
      </rPr>
      <t xml:space="preserve">] </t>
    </r>
    <r>
      <rPr>
        <b val="true"/>
        <sz val="14"/>
        <rFont val="WenQuanYi Zen Hei"/>
        <family val="2"/>
      </rPr>
      <t xml:space="preserve">스포츠안전재단 손해구제 서비스 </t>
    </r>
    <r>
      <rPr>
        <b val="true"/>
        <sz val="14"/>
        <rFont val="맑은 고딕"/>
        <family val="0"/>
        <charset val="1"/>
      </rPr>
      <t xml:space="preserve">FGI </t>
    </r>
    <r>
      <rPr>
        <b val="true"/>
        <sz val="14"/>
        <rFont val="WenQuanYi Zen Hei"/>
        <family val="2"/>
      </rPr>
      <t xml:space="preserve">큐시트</t>
    </r>
  </si>
  <si>
    <r>
      <rPr>
        <sz val="10"/>
        <rFont val="맑은 고딕"/>
        <family val="0"/>
        <charset val="1"/>
      </rPr>
      <t xml:space="preserve">2026-09-15(</t>
    </r>
    <r>
      <rPr>
        <sz val="10"/>
        <rFont val="WenQuanYi Zen Hei"/>
        <family val="2"/>
      </rPr>
      <t xml:space="preserve">화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패스트파이브 삼성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호점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서울 강남구 테헤란로</t>
    </r>
    <r>
      <rPr>
        <sz val="10"/>
        <rFont val="맑은 고딕"/>
        <family val="0"/>
        <charset val="1"/>
      </rPr>
      <t xml:space="preserve">87</t>
    </r>
    <r>
      <rPr>
        <sz val="10"/>
        <rFont val="WenQuanYi Zen Hei"/>
        <family val="2"/>
      </rPr>
      <t xml:space="preserve">길 </t>
    </r>
    <r>
      <rPr>
        <sz val="10"/>
        <rFont val="맑은 고딕"/>
        <family val="0"/>
        <charset val="1"/>
      </rPr>
      <t xml:space="preserve">36 City Airport Tower 24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</si>
  <si>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공제사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손해보험사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브로커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손해사정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학계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현장 </t>
    </r>
    <r>
      <rPr>
        <sz val="10"/>
        <rFont val="맑은 고딕"/>
        <family val="0"/>
        <charset val="1"/>
      </rPr>
      <t xml:space="preserve">7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서면 </t>
    </r>
    <r>
      <rPr>
        <sz val="10"/>
        <rFont val="맑은 고딕"/>
        <family val="0"/>
        <charset val="1"/>
      </rPr>
      <t xml:space="preserve">2~3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</si>
  <si>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사업명 변경 안내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재단 서비스 특장점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 슬라이드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직후 </t>
    </r>
    <r>
      <rPr>
        <sz val="10"/>
        <rFont val="맑은 고딕"/>
        <family val="0"/>
        <charset val="1"/>
      </rPr>
      <t xml:space="preserve">G3-11·12 </t>
    </r>
    <r>
      <rPr>
        <sz val="10"/>
        <rFont val="WenQuanYi Zen Hei"/>
        <family val="2"/>
      </rPr>
      <t xml:space="preserve">평가지 작성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회수</t>
    </r>
  </si>
  <si>
    <r>
      <rPr>
        <sz val="10"/>
        <rFont val="WenQuanYi Zen Hei"/>
        <family val="2"/>
      </rPr>
      <t xml:space="preserve">특장점 브리핑 직후 </t>
    </r>
    <r>
      <rPr>
        <sz val="10"/>
        <rFont val="맑은 고딕"/>
        <family val="0"/>
        <charset val="1"/>
      </rPr>
      <t xml:space="preserve">G3-11·12 </t>
    </r>
    <r>
      <rPr>
        <sz val="10"/>
        <rFont val="WenQuanYi Zen Hei"/>
        <family val="2"/>
      </rPr>
      <t xml:space="preserve">평가지 작성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브리핑 전 작성한 응답은 수정하지 않음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</si>
  <si>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서면 평가지 </t>
    </r>
    <r>
      <rPr>
        <sz val="10"/>
        <rFont val="맑은 고딕"/>
        <family val="0"/>
        <charset val="1"/>
      </rPr>
      <t xml:space="preserve">G3-11·12</t>
    </r>
  </si>
  <si>
    <t xml:space="preserve">시장 포지셔닝 진단</t>
  </si>
  <si>
    <r>
      <rPr>
        <b val="true"/>
        <sz val="10"/>
        <rFont val="WenQuanYi Zen Hei"/>
        <family val="2"/>
      </rPr>
      <t xml:space="preserve">▶ 시장 포지셔닝 진단 </t>
    </r>
    <r>
      <rPr>
        <b val="true"/>
        <sz val="10"/>
        <rFont val="맑은 고딕"/>
        <family val="0"/>
        <charset val="1"/>
      </rPr>
      <t xml:space="preserve">(25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</si>
  <si>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스포츠 상해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배상 공제 시장에서 재단 서비스의 현재 포지션에 가장 가까운 것은 무엇입니까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민간이 못 하는 영역을 메우는 공공 보완재 ② 민간과 직접 경쟁하는 경쟁재 ③ 특정 수요층 대상 틈새 상품 ④ 기타</t>
    </r>
  </si>
  <si>
    <t xml:space="preserve">〔현재 포지션〕 ① 공공 보완재 ② 경쟁재 ③ 틈새 ④ 기타 → 인원</t>
  </si>
  <si>
    <r>
      <rPr>
        <sz val="10"/>
        <rFont val="WenQuanYi Zen Hei"/>
        <family val="2"/>
      </rPr>
      <t xml:space="preserve">그렇게 진단한 근거는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</si>
  <si>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민간 손해보험사 상품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삼성화재</t>
    </r>
    <r>
      <rPr>
        <sz val="10"/>
        <rFont val="맑은 고딕"/>
        <family val="0"/>
        <charset val="1"/>
      </rPr>
      <t xml:space="preserve">·DB·</t>
    </r>
    <r>
      <rPr>
        <sz val="10"/>
        <rFont val="WenQuanYi Zen Hei"/>
        <family val="2"/>
      </rPr>
      <t xml:space="preserve">캐롯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과 비교했을 때 재단 상품의 강점과 약점은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</si>
  <si>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민간 보험사가 인수를 꺼리는 종목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조건의 실태는 어떻습니까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그 영역에서 재단의 역할을 어떻게 보십니까</t>
    </r>
    <r>
      <rPr>
        <sz val="10"/>
        <rFont val="맑은 고딕"/>
        <family val="0"/>
        <charset val="1"/>
      </rPr>
      <t xml:space="preserve">?</t>
    </r>
  </si>
  <si>
    <t xml:space="preserve">차별성 검증</t>
  </si>
  <si>
    <r>
      <rPr>
        <b val="true"/>
        <sz val="10"/>
        <rFont val="WenQuanYi Zen Hei"/>
        <family val="2"/>
      </rPr>
      <t xml:space="preserve">▶ 차별성 검증 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</si>
  <si>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종목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병력 유무 등에 따른 가입 거절이 없다는 재단의 특성은 시장에서 어느 정도 경쟁력이라고 보십니까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실질적 경쟁력이다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제한적이다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경쟁력이 아니다</t>
    </r>
    <r>
      <rPr>
        <sz val="10"/>
        <rFont val="맑은 고딕"/>
        <family val="0"/>
        <charset val="1"/>
      </rPr>
      <t xml:space="preserve">)</t>
    </r>
  </si>
  <si>
    <t xml:space="preserve">〔가입 거절 없음의 경쟁력〕 ① 아니다 ② 제한적 ③ 실질적 → 인원</t>
  </si>
  <si>
    <r>
      <rPr>
        <sz val="10"/>
        <rFont val="WenQuanYi Zen Hei"/>
        <family val="2"/>
      </rPr>
      <t xml:space="preserve">그렇게 판단한 이유는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</si>
  <si>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이 특성이 앞으로도 유지 가능하다고 보십니까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지속가능성을 위협하는 요인은 무엇입니까</t>
    </r>
    <r>
      <rPr>
        <sz val="10"/>
        <rFont val="맑은 고딕"/>
        <family val="0"/>
        <charset val="1"/>
      </rPr>
      <t xml:space="preserve">?</t>
    </r>
  </si>
  <si>
    <t xml:space="preserve">리스크 진단</t>
  </si>
  <si>
    <r>
      <rPr>
        <b val="true"/>
        <sz val="10"/>
        <rFont val="WenQuanYi Zen Hei"/>
        <family val="2"/>
      </rPr>
      <t xml:space="preserve">▶ 리스크 진단 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</si>
  <si>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고위험 종목 인수와 관련하여 언더라이팅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손해율 관점에서 어떤 이슈가 예상됩니까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</si>
  <si>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지속가능한 운영을 위해 재단이 관리해야 할 리스크 요인은 무엇입니까</t>
    </r>
    <r>
      <rPr>
        <sz val="10"/>
        <rFont val="맑은 고딕"/>
        <family val="0"/>
        <charset val="1"/>
      </rPr>
      <t xml:space="preserve">?</t>
    </r>
  </si>
  <si>
    <t xml:space="preserve">청구 프로세스 평가</t>
  </si>
  <si>
    <r>
      <rPr>
        <b val="true"/>
        <sz val="10"/>
        <rFont val="WenQuanYi Zen Hei"/>
        <family val="2"/>
      </rPr>
      <t xml:space="preserve">▶ 청구 프로세스 평가 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</si>
  <si>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업계 표준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국내 공제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손해보험업계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대비 재단 청구 절차의 신속성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투명성은 어느 수준입니까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평균 이상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평균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평균 이하</t>
    </r>
    <r>
      <rPr>
        <sz val="10"/>
        <rFont val="맑은 고딕"/>
        <family val="0"/>
        <charset val="1"/>
      </rPr>
      <t xml:space="preserve">)</t>
    </r>
  </si>
  <si>
    <t xml:space="preserve">〔청구 절차 수준〕 ① 평균 이하 ② 평균 ③ 평균 이상 → 인원</t>
  </si>
  <si>
    <r>
      <rPr>
        <sz val="10"/>
        <rFont val="WenQuanYi Zen Hei"/>
        <family val="2"/>
      </rPr>
      <t xml:space="preserve">그렇게 평가한 근거는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</si>
  <si>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보상 처리 프로세스에서 우선 보완해야 할 지점은 어디입니까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</si>
  <si>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재난안전의무보험 제도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「재난 및 안전관리 기본법」 제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조제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호의</t>
    </r>
    <r>
      <rPr>
        <sz val="10"/>
        <rFont val="맑은 고딕"/>
        <family val="0"/>
        <charset val="1"/>
      </rPr>
      <t xml:space="preserve">2)</t>
    </r>
    <r>
      <rPr>
        <sz val="10"/>
        <rFont val="WenQuanYi Zen Hei"/>
        <family val="2"/>
      </rPr>
      <t xml:space="preserve">와 스포츠 분야 적용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생활체육안전보험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운동경기대회배상책임보험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 원 이상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을 알고 계십니까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실무로 다뤄봤다 ② 제도만 알고 있다 ③ 잘 모른다</t>
    </r>
  </si>
  <si>
    <t xml:space="preserve">〔의무보험 인지〕 ① 실무로 다뤄봤다 ② 제도만 안다 ③ 잘 모른다 → 인원</t>
  </si>
  <si>
    <r>
      <rPr>
        <sz val="10"/>
        <rFont val="WenQuanYi Zen Hei"/>
        <family val="2"/>
      </rPr>
      <t xml:space="preserve">민간 손보 상품과 재단 주최자배상책임공제를 비교할 때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이 의무보험 요건을 충족하는 수준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요율 경쟁력은 어떻다고 평가하십니까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</si>
  <si>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의무보험 제도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가입 기준 상향 등 규제 변화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재단 공제에 기회와 위협 중 어느 쪽입니까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재단이 선제적으로 준비해야 할 것은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</si>
  <si>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「체육시설의 설치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이용에 관한 법률」 제</t>
    </r>
    <r>
      <rPr>
        <sz val="10"/>
        <rFont val="맑은 고딕"/>
        <family val="0"/>
        <charset val="1"/>
      </rPr>
      <t xml:space="preserve">26</t>
    </r>
    <r>
      <rPr>
        <sz val="10"/>
        <rFont val="WenQuanYi Zen Hei"/>
        <family val="2"/>
      </rPr>
      <t xml:space="preserve">조 및 「중대재해 처벌 등에 관한 법률」 등 안전책임 강화가 스포츠 보험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공제의 수요와 상품 설계에 어떤 영향을 미칠 것으로 보십니까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</si>
  <si>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0"/>
        <rFont val="WenQuanYi Zen Hei"/>
        <family val="2"/>
      </rPr>
      <t xml:space="preserve">개선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발전 방향</t>
    </r>
  </si>
  <si>
    <r>
      <rPr>
        <b val="true"/>
        <sz val="10"/>
        <rFont val="WenQuanYi Zen Hei"/>
        <family val="2"/>
      </rPr>
      <t xml:space="preserve">▶ 개선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발전 방향 </t>
    </r>
    <r>
      <rPr>
        <b val="true"/>
        <sz val="10"/>
        <rFont val="맑은 고딕"/>
        <family val="0"/>
        <charset val="1"/>
      </rPr>
      <t xml:space="preserve">(20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</si>
  <si>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디지털 전환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앱 가입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모바일 청구 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업계 트렌드 대비 재단의 위치는 어디쯤입니까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앞서 있다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비슷하다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뒤처져 있다</t>
    </r>
    <r>
      <rPr>
        <sz val="10"/>
        <rFont val="맑은 고딕"/>
        <family val="0"/>
        <charset val="1"/>
      </rPr>
      <t xml:space="preserve">)</t>
    </r>
  </si>
  <si>
    <t xml:space="preserve">〔디지털 전환 위치〕 ① 뒤처짐 ② 비슷 ③ 앞섬 → 인원</t>
  </si>
  <si>
    <r>
      <rPr>
        <sz val="10"/>
        <rFont val="WenQuanYi Zen Hei"/>
        <family val="2"/>
      </rPr>
      <t xml:space="preserve">안내드린 재단 특장점을 전제로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전문가 관점에서 현재 보장 구조에서 부족한 부분은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</si>
  <si>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다음 신규 담보 후보 중 시장성이 높다고 보는 영역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개를 골라 주십시오</t>
    </r>
    <r>
      <rPr>
        <sz val="10"/>
        <rFont val="맑은 고딕"/>
        <family val="0"/>
        <charset val="1"/>
      </rPr>
      <t xml:space="preserve">. ① </t>
    </r>
    <r>
      <rPr>
        <sz val="10"/>
        <rFont val="WenQuanYi Zen Hei"/>
        <family val="2"/>
      </rPr>
      <t xml:space="preserve">생활체육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동호인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소액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간편형 ② 선수 상해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소득보전형 ③ 단기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이벤트성 특화 ④ 비인기 종목 보장 사각지대 보완</t>
    </r>
  </si>
  <si>
    <r>
      <rPr>
        <sz val="10"/>
        <rFont val="WenQuanYi Zen Hei"/>
        <family val="2"/>
      </rPr>
      <t xml:space="preserve">〔신규 담보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개 선택〕 ①</t>
    </r>
    <r>
      <rPr>
        <sz val="10"/>
        <rFont val="맑은 고딕"/>
        <family val="0"/>
        <charset val="1"/>
      </rPr>
      <t xml:space="preserve">~④ → </t>
    </r>
    <r>
      <rPr>
        <sz val="10"/>
        <rFont val="WenQuanYi Zen Hei"/>
        <family val="2"/>
      </rPr>
      <t xml:space="preserve">인원</t>
    </r>
  </si>
  <si>
    <r>
      <rPr>
        <sz val="10"/>
        <rFont val="WenQuanYi Zen Hei"/>
        <family val="2"/>
      </rPr>
      <t xml:space="preserve">선택한 영역의 시장성 근거와 설계 시 유의점은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</si>
  <si>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전문가 관점에서 재단이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년 내 반드시 해야 할 한 가지를 꼽는다면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</si>
  <si>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신규 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담보를 실제 현장에 적용하려면 가격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가입 절차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보상 기준 측면에서 어떤 조건이 필요합니까</t>
    </r>
    <r>
      <rPr>
        <sz val="10"/>
        <rFont val="맑은 고딕"/>
        <family val="0"/>
        <charset val="1"/>
      </rPr>
      <t xml:space="preserve">?</t>
    </r>
  </si>
  <si>
    <r>
      <rPr>
        <b val="true"/>
        <sz val="14"/>
        <rFont val="맑은 고딕"/>
        <family val="0"/>
        <charset val="1"/>
      </rPr>
      <t xml:space="preserve">[</t>
    </r>
    <r>
      <rPr>
        <b val="true"/>
        <sz val="14"/>
        <rFont val="WenQuanYi Zen Hei"/>
        <family val="2"/>
      </rPr>
      <t xml:space="preserve">그룹 </t>
    </r>
    <r>
      <rPr>
        <b val="true"/>
        <sz val="14"/>
        <rFont val="맑은 고딕"/>
        <family val="0"/>
        <charset val="1"/>
      </rPr>
      <t xml:space="preserve">4 · </t>
    </r>
    <r>
      <rPr>
        <b val="true"/>
        <sz val="14"/>
        <rFont val="WenQuanYi Zen Hei"/>
        <family val="2"/>
      </rPr>
      <t xml:space="preserve">재단 내부 관계자</t>
    </r>
    <r>
      <rPr>
        <b val="true"/>
        <sz val="14"/>
        <rFont val="맑은 고딕"/>
        <family val="0"/>
        <charset val="1"/>
      </rPr>
      <t xml:space="preserve">] </t>
    </r>
    <r>
      <rPr>
        <b val="true"/>
        <sz val="14"/>
        <rFont val="WenQuanYi Zen Hei"/>
        <family val="2"/>
      </rPr>
      <t xml:space="preserve">스포츠안전재단 손해구제 서비스 </t>
    </r>
    <r>
      <rPr>
        <b val="true"/>
        <sz val="14"/>
        <rFont val="맑은 고딕"/>
        <family val="0"/>
        <charset val="1"/>
      </rPr>
      <t xml:space="preserve">FGI </t>
    </r>
    <r>
      <rPr>
        <b val="true"/>
        <sz val="14"/>
        <rFont val="WenQuanYi Zen Hei"/>
        <family val="2"/>
      </rPr>
      <t xml:space="preserve">큐시트</t>
    </r>
  </si>
  <si>
    <r>
      <rPr>
        <sz val="10"/>
        <rFont val="맑은 고딕"/>
        <family val="0"/>
        <charset val="1"/>
      </rPr>
      <t xml:space="preserve">2026-09-17(</t>
    </r>
    <r>
      <rPr>
        <sz val="10"/>
        <rFont val="WenQuanYi Zen Hei"/>
        <family val="2"/>
      </rPr>
      <t xml:space="preserve">목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스포츠안전재단 교육장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서울 송파구 올림픽로 </t>
    </r>
    <r>
      <rPr>
        <sz val="10"/>
        <rFont val="맑은 고딕"/>
        <family val="0"/>
        <charset val="1"/>
      </rPr>
      <t xml:space="preserve">424, </t>
    </r>
    <r>
      <rPr>
        <sz val="10"/>
        <rFont val="WenQuanYi Zen Hei"/>
        <family val="2"/>
      </rPr>
      <t xml:space="preserve">올림픽공원 테니스경기장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층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</si>
  <si>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재단 임직원 — 보임자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실무자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명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안전공제실 등 관련 부서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개인 명단 미정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</si>
  <si>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법령 안내 슬라이드 </t>
    </r>
    <r>
      <rPr>
        <sz val="10"/>
        <rFont val="맑은 고딕"/>
        <family val="0"/>
        <charset val="1"/>
      </rPr>
      <t xml:space="preserve">· Top 3 </t>
    </r>
    <r>
      <rPr>
        <sz val="10"/>
        <rFont val="WenQuanYi Zen Hei"/>
        <family val="2"/>
      </rPr>
      <t xml:space="preserve">개인 작성 용지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법령 슬라이드</t>
    </r>
    <r>
      <rPr>
        <sz val="10"/>
        <rFont val="맑은 고딕"/>
        <family val="0"/>
        <charset val="1"/>
      </rPr>
      <t xml:space="preserve">: https://docs.google.com/presentation/d/1qNKAob6CdE12D9baQVkZxUtktVQAWlEgfi2QJ_5gaso/edit</t>
    </r>
  </si>
  <si>
    <t xml:space="preserve">운영 현황</t>
  </si>
  <si>
    <r>
      <rPr>
        <b val="true"/>
        <sz val="10"/>
        <rFont val="WenQuanYi Zen Hei"/>
        <family val="2"/>
      </rPr>
      <t xml:space="preserve">▶ 운영 현황 </t>
    </r>
    <r>
      <rPr>
        <b val="true"/>
        <sz val="10"/>
        <rFont val="맑은 고딕"/>
        <family val="0"/>
        <charset val="1"/>
      </rPr>
      <t xml:space="preserve">(20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</si>
  <si>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부서별 업무 프로세스에서 손해구제 서비스는 어떻게 운영되고 있습니까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</si>
  <si>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현장에서 가장 많이 접수되는 민원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문의 유형은 무엇이고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어떤 과정으로 처리됩니까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</si>
  <si>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〔다빈도 민원 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〕 ① 가입대상 ② 가입증빙 ③ 보상한도 ④ 상품선택 ⑤ 보상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면책 ⑥ 기타 → 인원</t>
    </r>
  </si>
  <si>
    <t xml:space="preserve">내부 인식</t>
  </si>
  <si>
    <r>
      <rPr>
        <b val="true"/>
        <sz val="10"/>
        <rFont val="WenQuanYi Zen Hei"/>
        <family val="2"/>
      </rPr>
      <t xml:space="preserve">▶ 내부 인식 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</si>
  <si>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외부 고객 만족도와 내부 자체평가 사이에 온도차가 있다고 느끼십니까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크다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다소 있다 </t>
    </r>
    <r>
      <rPr>
        <sz val="10"/>
        <rFont val="맑은 고딕"/>
        <family val="0"/>
        <charset val="1"/>
      </rPr>
      <t xml:space="preserve">/ </t>
    </r>
    <r>
      <rPr>
        <sz val="10"/>
        <rFont val="WenQuanYi Zen Hei"/>
        <family val="2"/>
      </rPr>
      <t xml:space="preserve">거의 없다</t>
    </r>
    <r>
      <rPr>
        <sz val="10"/>
        <rFont val="맑은 고딕"/>
        <family val="0"/>
        <charset val="1"/>
      </rPr>
      <t xml:space="preserve">)</t>
    </r>
  </si>
  <si>
    <t xml:space="preserve">〔온도차〕 ① 거의 없다 ② 다소 있다 ③ 크다 → 인원</t>
  </si>
  <si>
    <r>
      <rPr>
        <sz val="10"/>
        <rFont val="WenQuanYi Zen Hei"/>
        <family val="2"/>
      </rPr>
      <t xml:space="preserve">어떤 지점에서 그렇게 느끼십니까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</si>
  <si>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고객이 모르는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내부만 아는 서비스의 강점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약점이 있다면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</si>
  <si>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재난안전의무보험 제도와 ‘대인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억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천만 원 이상’ 기준을 업무에서 다뤄본 적이 있습니까</t>
    </r>
    <r>
      <rPr>
        <sz val="10"/>
        <rFont val="맑은 고딕"/>
        <family val="0"/>
        <charset val="1"/>
      </rPr>
      <t xml:space="preserve">? ① </t>
    </r>
    <r>
      <rPr>
        <sz val="10"/>
        <rFont val="WenQuanYi Zen Hei"/>
        <family val="2"/>
      </rPr>
      <t xml:space="preserve">업무로 직접 다룬다 ② 알지만 내 업무와 무관하다 ③ 잘 모른다</t>
    </r>
  </si>
  <si>
    <t xml:space="preserve">〔의무보험 제도 인지〕 ① 직접 다룬다 ② 알지만 무관 ③ 잘 모른다 → 인원</t>
  </si>
  <si>
    <r>
      <rPr>
        <sz val="10"/>
        <rFont val="WenQuanYi Zen Hei"/>
        <family val="2"/>
      </rPr>
      <t xml:space="preserve">가입 상담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심사 과정에서 대회 주최자에게 의무보험 요건을 안내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확인하는 프로세스가 있습니까</t>
    </r>
    <r>
      <rPr>
        <sz val="10"/>
        <rFont val="맑은 고딕"/>
        <family val="0"/>
        <charset val="1"/>
      </rPr>
      <t xml:space="preserve">? </t>
    </r>
    <r>
      <rPr>
        <sz val="10"/>
        <rFont val="WenQuanYi Zen Hei"/>
        <family val="2"/>
      </rPr>
      <t xml:space="preserve">보완할 점은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</si>
  <si>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의무보험 관련 민원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문의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가입 증빙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담보 한도 등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는 어떤 유형이 많고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대응에서 어려운 점은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</si>
  <si>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제도를 모르는 주최자에게 재단이 어떤 방식으로 알리는 것이 가장 효과적이라고 보십니까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</si>
  <si>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관련 법령과 재단 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안내 업무의 연결 기준이 부서 간 일관되게 정리되어 있습니까</t>
    </r>
    <r>
      <rPr>
        <sz val="10"/>
        <rFont val="맑은 고딕"/>
        <family val="0"/>
        <charset val="1"/>
      </rPr>
      <t xml:space="preserve">?</t>
    </r>
  </si>
  <si>
    <t xml:space="preserve">개선 과제</t>
  </si>
  <si>
    <r>
      <rPr>
        <b val="true"/>
        <sz val="10"/>
        <rFont val="WenQuanYi Zen Hei"/>
        <family val="2"/>
      </rPr>
      <t xml:space="preserve">▶ 개선 과제 </t>
    </r>
    <r>
      <rPr>
        <b val="true"/>
        <sz val="10"/>
        <rFont val="맑은 고딕"/>
        <family val="0"/>
        <charset val="1"/>
      </rPr>
      <t xml:space="preserve">(20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</si>
  <si>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청구 프로세스 중 내부적으로 인지하고 있는 개선 과제는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</si>
  <si>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현재 운영에서 내부적으로 가장 불편한 점은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</si>
  <si>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개선을 가로막는 가장 큰 장벽은 무엇입니까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복수 선택</t>
    </r>
    <r>
      <rPr>
        <sz val="10"/>
        <rFont val="맑은 고딕"/>
        <family val="0"/>
        <charset val="1"/>
      </rPr>
      <t xml:space="preserve">) ① </t>
    </r>
    <r>
      <rPr>
        <sz val="10"/>
        <rFont val="WenQuanYi Zen Hei"/>
        <family val="2"/>
      </rPr>
      <t xml:space="preserve">인력 부족 ② 예산 제약 ③ 시스템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한계 ④ 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규정 ⑤ 조직문화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부서 간 협업</t>
    </r>
  </si>
  <si>
    <r>
      <rPr>
        <sz val="10"/>
        <rFont val="WenQuanYi Zen Hei"/>
        <family val="2"/>
      </rPr>
      <t xml:space="preserve">〔개선 장벽 </t>
    </r>
    <r>
      <rPr>
        <sz val="10"/>
        <rFont val="맑은 고딕"/>
        <family val="0"/>
        <charset val="1"/>
      </rPr>
      <t xml:space="preserve">(2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〕 ①</t>
    </r>
    <r>
      <rPr>
        <sz val="10"/>
        <rFont val="맑은 고딕"/>
        <family val="0"/>
        <charset val="1"/>
      </rPr>
      <t xml:space="preserve">~⑤ → </t>
    </r>
    <r>
      <rPr>
        <sz val="10"/>
        <rFont val="WenQuanYi Zen Hei"/>
        <family val="2"/>
      </rPr>
      <t xml:space="preserve">인원</t>
    </r>
  </si>
  <si>
    <r>
      <rPr>
        <b val="true"/>
        <sz val="10"/>
        <rFont val="WenQuanYi Zen Hei"/>
        <family val="2"/>
      </rPr>
      <t xml:space="preserve">자원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제도적 제약</t>
    </r>
  </si>
  <si>
    <r>
      <rPr>
        <b val="true"/>
        <sz val="10"/>
        <rFont val="WenQuanYi Zen Hei"/>
        <family val="2"/>
      </rPr>
      <t xml:space="preserve">▶ 자원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제도적 제약 </t>
    </r>
    <r>
      <rPr>
        <b val="true"/>
        <sz val="10"/>
        <rFont val="맑은 고딕"/>
        <family val="0"/>
        <charset val="1"/>
      </rPr>
      <t xml:space="preserve">(15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</si>
  <si>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시스템 관점에서 개선을 실행할 때 현실적 제약은 무엇입니까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</si>
  <si>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신규 서비스를 개발한다면 예상되는 내부 제약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제도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예산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은 무엇입니까</t>
    </r>
    <r>
      <rPr>
        <sz val="10"/>
        <rFont val="맑은 고딕"/>
        <family val="0"/>
        <charset val="1"/>
      </rPr>
      <t xml:space="preserve">?</t>
    </r>
  </si>
  <si>
    <t xml:space="preserve">향후 방향</t>
  </si>
  <si>
    <r>
      <rPr>
        <b val="true"/>
        <sz val="10"/>
        <rFont val="WenQuanYi Zen Hei"/>
        <family val="2"/>
      </rPr>
      <t xml:space="preserve">▶ 향후 방향 </t>
    </r>
    <r>
      <rPr>
        <b val="true"/>
        <sz val="10"/>
        <rFont val="맑은 고딕"/>
        <family val="0"/>
        <charset val="1"/>
      </rPr>
      <t xml:space="preserve">(20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</si>
  <si>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지표관리 체계</t>
    </r>
    <r>
      <rPr>
        <sz val="10"/>
        <rFont val="맑은 고딕"/>
        <family val="0"/>
        <charset val="1"/>
      </rPr>
      <t xml:space="preserve">(OLS </t>
    </r>
    <r>
      <rPr>
        <sz val="10"/>
        <rFont val="WenQuanYi Zen Hei"/>
        <family val="2"/>
      </rPr>
      <t xml:space="preserve">기반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자체 운영한다면 어떤 역량과 지원이 필요합니까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</si>
  <si>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WenQuanYi Zen Hei"/>
        <family val="2"/>
      </rPr>
      <t xml:space="preserve">‘가장 시급한 서비스 개선 과제 </t>
    </r>
    <r>
      <rPr>
        <sz val="10"/>
        <rFont val="맑은 고딕"/>
        <family val="0"/>
        <charset val="1"/>
      </rPr>
      <t xml:space="preserve">Top 3’ </t>
    </r>
    <r>
      <rPr>
        <sz val="10"/>
        <rFont val="WenQuanYi Zen Hei"/>
        <family val="2"/>
      </rPr>
      <t xml:space="preserve">개인 작성 용지 배부 →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분 작성 → 회수 </t>
    </r>
    <r>
      <rPr>
        <sz val="10"/>
        <rFont val="맑은 고딕"/>
        <family val="0"/>
        <charset val="1"/>
      </rPr>
      <t xml:space="preserve">(G4-9)</t>
    </r>
  </si>
  <si>
    <r>
      <rPr>
        <sz val="10"/>
        <rFont val="맑은 고딕"/>
        <family val="0"/>
        <charset val="1"/>
      </rPr>
      <t xml:space="preserve">Top 3 </t>
    </r>
    <r>
      <rPr>
        <sz val="10"/>
        <rFont val="WenQuanYi Zen Hei"/>
        <family val="2"/>
      </rPr>
      <t xml:space="preserve">개인 작성 용지</t>
    </r>
  </si>
  <si>
    <r>
      <rPr>
        <sz val="10"/>
        <rFont val="WenQuanYi Zen Hei"/>
        <family val="2"/>
      </rPr>
      <t xml:space="preserve">임직원이 보기에 가장 시급한 서비스 개선 과제 </t>
    </r>
    <r>
      <rPr>
        <sz val="10"/>
        <rFont val="맑은 고딕"/>
        <family val="0"/>
        <charset val="1"/>
      </rPr>
      <t xml:space="preserve">Top 3</t>
    </r>
    <r>
      <rPr>
        <sz val="10"/>
        <rFont val="WenQuanYi Zen Hei"/>
        <family val="2"/>
      </rPr>
      <t xml:space="preserve">는 무엇입니까</t>
    </r>
    <r>
      <rPr>
        <sz val="10"/>
        <rFont val="맑은 고딕"/>
        <family val="0"/>
        <charset val="1"/>
      </rPr>
      <t xml:space="preserve">? — </t>
    </r>
    <r>
      <rPr>
        <sz val="10"/>
        <rFont val="WenQuanYi Zen Hei"/>
        <family val="2"/>
      </rPr>
      <t xml:space="preserve">개인별 작성 내용을 공유하고 토의</t>
    </r>
  </si>
  <si>
    <r>
      <rPr>
        <sz val="10"/>
        <rFont val="WenQuanYi Zen Hei"/>
        <family val="2"/>
      </rPr>
      <t xml:space="preserve">〔시급한 과제 </t>
    </r>
    <r>
      <rPr>
        <sz val="10"/>
        <rFont val="맑은 고딕"/>
        <family val="0"/>
        <charset val="1"/>
      </rPr>
      <t xml:space="preserve">Top 3</t>
    </r>
    <r>
      <rPr>
        <sz val="10"/>
        <rFont val="WenQuanYi Zen Hei"/>
        <family val="2"/>
      </rPr>
      <t xml:space="preserve">〕 참석자별 </t>
    </r>
    <r>
      <rPr>
        <sz val="10"/>
        <rFont val="맑은 고딕"/>
        <family val="0"/>
        <charset val="1"/>
      </rPr>
      <t xml:space="preserve">1~3</t>
    </r>
    <r>
      <rPr>
        <sz val="10"/>
        <rFont val="WenQuanYi Zen Hei"/>
        <family val="2"/>
      </rPr>
      <t xml:space="preserve">순위를 그대로 옮겨 적는다</t>
    </r>
  </si>
  <si>
    <r>
      <rPr>
        <b val="true"/>
        <sz val="14"/>
        <rFont val="WenQuanYi Zen Hei"/>
        <family val="2"/>
      </rPr>
      <t xml:space="preserve">스포츠안전재단 손해구제 서비스 </t>
    </r>
    <r>
      <rPr>
        <b val="true"/>
        <sz val="14"/>
        <rFont val="맑은 고딕"/>
        <family val="0"/>
        <charset val="1"/>
      </rPr>
      <t xml:space="preserve">FGI </t>
    </r>
    <r>
      <rPr>
        <b val="true"/>
        <sz val="14"/>
        <rFont val="WenQuanYi Zen Hei"/>
        <family val="2"/>
      </rPr>
      <t xml:space="preserve">진행 시간표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공유용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</si>
  <si>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주관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코리아스픽스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회당 </t>
    </r>
    <r>
      <rPr>
        <i val="true"/>
        <sz val="9"/>
        <color rgb="FF595959"/>
        <rFont val="맑은 고딕"/>
        <family val="0"/>
        <charset val="1"/>
      </rPr>
      <t xml:space="preserve">120</t>
    </r>
    <r>
      <rPr>
        <i val="true"/>
        <sz val="9"/>
        <color rgb="FF595959"/>
        <rFont val="WenQuanYi Zen Hei"/>
        <family val="2"/>
      </rPr>
      <t xml:space="preserve">분 </t>
    </r>
    <r>
      <rPr>
        <i val="true"/>
        <sz val="9"/>
        <color rgb="FF595959"/>
        <rFont val="맑은 고딕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도입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분 → 인터뷰 </t>
    </r>
    <r>
      <rPr>
        <i val="true"/>
        <sz val="9"/>
        <color rgb="FF595959"/>
        <rFont val="맑은 고딕"/>
        <family val="0"/>
        <charset val="1"/>
      </rPr>
      <t xml:space="preserve">100</t>
    </r>
    <r>
      <rPr>
        <i val="true"/>
        <sz val="9"/>
        <color rgb="FF595959"/>
        <rFont val="WenQuanYi Zen Hei"/>
        <family val="2"/>
      </rPr>
      <t xml:space="preserve">분 → 마무리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분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시각은 각 회차 큐시트의 시작 시각과 연동된다</t>
    </r>
    <r>
      <rPr>
        <i val="true"/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</si>
  <si>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그룹 </t>
    </r>
    <r>
      <rPr>
        <b val="true"/>
        <sz val="11"/>
        <rFont val="맑은 고딕"/>
        <family val="0"/>
        <charset val="1"/>
      </rPr>
      <t xml:space="preserve">1 · </t>
    </r>
    <r>
      <rPr>
        <b val="true"/>
        <sz val="11"/>
        <rFont val="WenQuanYi Zen Hei"/>
        <family val="2"/>
      </rPr>
      <t xml:space="preserve">사업 이용 고객 </t>
    </r>
    <r>
      <rPr>
        <b val="true"/>
        <sz val="11"/>
        <rFont val="맑은 고딕"/>
        <family val="0"/>
        <charset val="1"/>
      </rPr>
      <t xml:space="preserve">· 2026-09-07(</t>
    </r>
    <r>
      <rPr>
        <b val="true"/>
        <sz val="11"/>
        <rFont val="WenQuanYi Zen Hei"/>
        <family val="2"/>
      </rPr>
      <t xml:space="preserve">월</t>
    </r>
    <r>
      <rPr>
        <b val="true"/>
        <sz val="11"/>
        <rFont val="맑은 고딕"/>
        <family val="0"/>
        <charset val="1"/>
      </rPr>
      <t xml:space="preserve">) · </t>
    </r>
    <r>
      <rPr>
        <b val="true"/>
        <sz val="11"/>
        <rFont val="WenQuanYi Zen Hei"/>
        <family val="2"/>
      </rPr>
      <t xml:space="preserve">패스트파이브 서울역점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서울 용산구 동자동 </t>
    </r>
    <r>
      <rPr>
        <b val="true"/>
        <sz val="11"/>
        <rFont val="맑은 고딕"/>
        <family val="0"/>
        <charset val="1"/>
      </rPr>
      <t xml:space="preserve">56 </t>
    </r>
    <r>
      <rPr>
        <b val="true"/>
        <sz val="11"/>
        <rFont val="WenQuanYi Zen Hei"/>
        <family val="2"/>
      </rPr>
      <t xml:space="preserve">트윈시티 남산</t>
    </r>
    <r>
      <rPr>
        <b val="true"/>
        <sz val="11"/>
        <rFont val="맑은 고딕"/>
        <family val="0"/>
        <charset val="1"/>
      </rPr>
      <t xml:space="preserve">2)</t>
    </r>
  </si>
  <si>
    <t xml:space="preserve">회차</t>
  </si>
  <si>
    <r>
      <rPr>
        <b val="true"/>
        <sz val="10"/>
        <color rgb="FFFFFFFF"/>
        <rFont val="WenQuanYi Zen Hei"/>
        <family val="2"/>
      </rPr>
      <t xml:space="preserve">송출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안내</t>
    </r>
  </si>
  <si>
    <t xml:space="preserve">사업명 변경 안내</t>
  </si>
  <si>
    <r>
      <rPr>
        <sz val="10"/>
        <rFont val="WenQuanYi Zen Hei"/>
        <family val="2"/>
      </rPr>
      <t xml:space="preserve">인지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가입 경로</t>
    </r>
  </si>
  <si>
    <r>
      <rPr>
        <sz val="10"/>
        <rFont val="WenQuanYi Zen Hei"/>
        <family val="2"/>
      </rPr>
      <t xml:space="preserve">가입 절차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정량 </t>
    </r>
    <r>
      <rPr>
        <sz val="10"/>
        <rFont val="맑은 고딕"/>
        <family val="0"/>
        <charset val="1"/>
      </rPr>
      <t xml:space="preserve">A </t>
    </r>
    <r>
      <rPr>
        <sz val="10"/>
        <rFont val="WenQuanYi Zen Hei"/>
        <family val="2"/>
      </rPr>
      <t xml:space="preserve">연동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</si>
  <si>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재단 홈페이지 가입 화면 </t>
    </r>
    <r>
      <rPr>
        <sz val="10"/>
        <rFont val="맑은 고딕"/>
        <family val="0"/>
        <charset val="1"/>
      </rPr>
      <t xml:space="preserve">· AI </t>
    </r>
    <r>
      <rPr>
        <sz val="10"/>
        <rFont val="WenQuanYi Zen Hei"/>
        <family val="2"/>
      </rPr>
      <t xml:space="preserve">상담 화면</t>
    </r>
  </si>
  <si>
    <r>
      <rPr>
        <sz val="10"/>
        <rFont val="WenQuanYi Zen Hei"/>
        <family val="2"/>
      </rPr>
      <t xml:space="preserve">콜센터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고객센터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정량 </t>
    </r>
    <r>
      <rPr>
        <sz val="10"/>
        <rFont val="맑은 고딕"/>
        <family val="0"/>
        <charset val="1"/>
      </rPr>
      <t xml:space="preserve">B </t>
    </r>
    <r>
      <rPr>
        <sz val="10"/>
        <rFont val="WenQuanYi Zen Hei"/>
        <family val="2"/>
      </rPr>
      <t xml:space="preserve">연동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</si>
  <si>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상품 정보 이해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정량 </t>
    </r>
    <r>
      <rPr>
        <sz val="10"/>
        <rFont val="맑은 고딕"/>
        <family val="0"/>
        <charset val="1"/>
      </rPr>
      <t xml:space="preserve">C </t>
    </r>
    <r>
      <rPr>
        <sz val="10"/>
        <rFont val="WenQuanYi Zen Hei"/>
        <family val="2"/>
      </rPr>
      <t xml:space="preserve">연동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</si>
  <si>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회비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정량 </t>
    </r>
    <r>
      <rPr>
        <sz val="10"/>
        <rFont val="맑은 고딕"/>
        <family val="0"/>
        <charset val="1"/>
      </rPr>
      <t xml:space="preserve">D </t>
    </r>
    <r>
      <rPr>
        <sz val="10"/>
        <rFont val="WenQuanYi Zen Hei"/>
        <family val="2"/>
      </rPr>
      <t xml:space="preserve">연동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</si>
  <si>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보험금 청구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정량 </t>
    </r>
    <r>
      <rPr>
        <sz val="10"/>
        <rFont val="맑은 고딕"/>
        <family val="0"/>
        <charset val="1"/>
      </rPr>
      <t xml:space="preserve">E </t>
    </r>
    <r>
      <rPr>
        <sz val="10"/>
        <rFont val="WenQuanYi Zen Hei"/>
        <family val="2"/>
      </rPr>
      <t xml:space="preserve">연동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청구 경험자 중심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</si>
  <si>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제도 인식</t>
    </r>
  </si>
  <si>
    <t xml:space="preserve">법령 안내 슬라이드</t>
  </si>
  <si>
    <r>
      <rPr>
        <sz val="10"/>
        <rFont val="WenQuanYi Zen Hei"/>
        <family val="2"/>
      </rPr>
      <t xml:space="preserve">종합</t>
    </r>
    <r>
      <rPr>
        <sz val="10"/>
        <rFont val="맑은 고딕"/>
        <family val="0"/>
        <charset val="1"/>
      </rPr>
      <t xml:space="preserve">·NPS·</t>
    </r>
    <r>
      <rPr>
        <sz val="10"/>
        <rFont val="WenQuanYi Zen Hei"/>
        <family val="2"/>
      </rPr>
      <t xml:space="preserve">신규 수요</t>
    </r>
  </si>
  <si>
    <r>
      <rPr>
        <b val="true"/>
        <sz val="11"/>
        <rFont val="WenQuanYi Zen Hei"/>
        <family val="2"/>
      </rPr>
      <t xml:space="preserve">그룹 </t>
    </r>
    <r>
      <rPr>
        <b val="true"/>
        <sz val="11"/>
        <rFont val="맑은 고딕"/>
        <family val="0"/>
        <charset val="1"/>
      </rPr>
      <t xml:space="preserve">2 · </t>
    </r>
    <r>
      <rPr>
        <b val="true"/>
        <sz val="11"/>
        <rFont val="WenQuanYi Zen Hei"/>
        <family val="2"/>
      </rPr>
      <t xml:space="preserve">사업협력 단체 </t>
    </r>
    <r>
      <rPr>
        <b val="true"/>
        <sz val="11"/>
        <rFont val="맑은 고딕"/>
        <family val="0"/>
        <charset val="1"/>
      </rPr>
      <t xml:space="preserve">· 2026-09-08(</t>
    </r>
    <r>
      <rPr>
        <b val="true"/>
        <sz val="11"/>
        <rFont val="WenQuanYi Zen Hei"/>
        <family val="2"/>
      </rPr>
      <t xml:space="preserve">화</t>
    </r>
    <r>
      <rPr>
        <b val="true"/>
        <sz val="11"/>
        <rFont val="맑은 고딕"/>
        <family val="0"/>
        <charset val="1"/>
      </rPr>
      <t xml:space="preserve">) · </t>
    </r>
    <r>
      <rPr>
        <b val="true"/>
        <sz val="11"/>
        <rFont val="WenQuanYi Zen Hei"/>
        <family val="2"/>
      </rPr>
      <t xml:space="preserve">스포츠안전재단 교육장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서울 송파구 올림픽로 </t>
    </r>
    <r>
      <rPr>
        <b val="true"/>
        <sz val="11"/>
        <rFont val="맑은 고딕"/>
        <family val="0"/>
        <charset val="1"/>
      </rPr>
      <t xml:space="preserve">424, </t>
    </r>
    <r>
      <rPr>
        <b val="true"/>
        <sz val="11"/>
        <rFont val="WenQuanYi Zen Hei"/>
        <family val="2"/>
      </rPr>
      <t xml:space="preserve">올림픽공원 테니스경기장 </t>
    </r>
    <r>
      <rPr>
        <b val="true"/>
        <sz val="11"/>
        <rFont val="맑은 고딕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층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</si>
  <si>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사업명 변경 안내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특장점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가지 슬라이드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서면 평가지 작성</t>
    </r>
  </si>
  <si>
    <r>
      <rPr>
        <sz val="10"/>
        <rFont val="WenQuanYi Zen Hei"/>
        <family val="2"/>
      </rPr>
      <t xml:space="preserve">회원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산하단체 안내</t>
    </r>
  </si>
  <si>
    <r>
      <rPr>
        <sz val="10"/>
        <rFont val="WenQuanYi Zen Hei"/>
        <family val="2"/>
      </rPr>
      <t xml:space="preserve">개선 제안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협력 확대</t>
    </r>
  </si>
  <si>
    <r>
      <rPr>
        <b val="true"/>
        <sz val="11"/>
        <rFont val="WenQuanYi Zen Hei"/>
        <family val="2"/>
      </rPr>
      <t xml:space="preserve">그룹 </t>
    </r>
    <r>
      <rPr>
        <b val="true"/>
        <sz val="11"/>
        <rFont val="맑은 고딕"/>
        <family val="0"/>
        <charset val="1"/>
      </rPr>
      <t xml:space="preserve">3 · </t>
    </r>
    <r>
      <rPr>
        <b val="true"/>
        <sz val="11"/>
        <rFont val="WenQuanYi Zen Hei"/>
        <family val="2"/>
      </rPr>
      <t xml:space="preserve">손해구제 전문가 </t>
    </r>
    <r>
      <rPr>
        <b val="true"/>
        <sz val="11"/>
        <rFont val="맑은 고딕"/>
        <family val="0"/>
        <charset val="1"/>
      </rPr>
      <t xml:space="preserve">· 2026-09-15(</t>
    </r>
    <r>
      <rPr>
        <b val="true"/>
        <sz val="11"/>
        <rFont val="WenQuanYi Zen Hei"/>
        <family val="2"/>
      </rPr>
      <t xml:space="preserve">화</t>
    </r>
    <r>
      <rPr>
        <b val="true"/>
        <sz val="11"/>
        <rFont val="맑은 고딕"/>
        <family val="0"/>
        <charset val="1"/>
      </rPr>
      <t xml:space="preserve">) · </t>
    </r>
    <r>
      <rPr>
        <b val="true"/>
        <sz val="11"/>
        <rFont val="WenQuanYi Zen Hei"/>
        <family val="2"/>
      </rPr>
      <t xml:space="preserve">패스트파이브 삼성</t>
    </r>
    <r>
      <rPr>
        <b val="true"/>
        <sz val="11"/>
        <rFont val="맑은 고딕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호점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서울 강남구 테헤란로</t>
    </r>
    <r>
      <rPr>
        <b val="true"/>
        <sz val="11"/>
        <rFont val="맑은 고딕"/>
        <family val="0"/>
        <charset val="1"/>
      </rPr>
      <t xml:space="preserve">87</t>
    </r>
    <r>
      <rPr>
        <b val="true"/>
        <sz val="11"/>
        <rFont val="WenQuanYi Zen Hei"/>
        <family val="2"/>
      </rPr>
      <t xml:space="preserve">길 </t>
    </r>
    <r>
      <rPr>
        <b val="true"/>
        <sz val="11"/>
        <rFont val="맑은 고딕"/>
        <family val="0"/>
        <charset val="1"/>
      </rPr>
      <t xml:space="preserve">36 City Airport Tower 24</t>
    </r>
    <r>
      <rPr>
        <b val="true"/>
        <sz val="11"/>
        <rFont val="WenQuanYi Zen Hei"/>
        <family val="2"/>
      </rPr>
      <t xml:space="preserve">층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</si>
  <si>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개선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발전 방향</t>
    </r>
  </si>
  <si>
    <r>
      <rPr>
        <b val="true"/>
        <sz val="11"/>
        <rFont val="WenQuanYi Zen Hei"/>
        <family val="2"/>
      </rPr>
      <t xml:space="preserve">그룹 </t>
    </r>
    <r>
      <rPr>
        <b val="true"/>
        <sz val="11"/>
        <rFont val="맑은 고딕"/>
        <family val="0"/>
        <charset val="1"/>
      </rPr>
      <t xml:space="preserve">4 · </t>
    </r>
    <r>
      <rPr>
        <b val="true"/>
        <sz val="11"/>
        <rFont val="WenQuanYi Zen Hei"/>
        <family val="2"/>
      </rPr>
      <t xml:space="preserve">재단 내부 관계자 </t>
    </r>
    <r>
      <rPr>
        <b val="true"/>
        <sz val="11"/>
        <rFont val="맑은 고딕"/>
        <family val="0"/>
        <charset val="1"/>
      </rPr>
      <t xml:space="preserve">· 2026-09-17(</t>
    </r>
    <r>
      <rPr>
        <b val="true"/>
        <sz val="11"/>
        <rFont val="WenQuanYi Zen Hei"/>
        <family val="2"/>
      </rPr>
      <t xml:space="preserve">목</t>
    </r>
    <r>
      <rPr>
        <b val="true"/>
        <sz val="11"/>
        <rFont val="맑은 고딕"/>
        <family val="0"/>
        <charset val="1"/>
      </rPr>
      <t xml:space="preserve">) · </t>
    </r>
    <r>
      <rPr>
        <b val="true"/>
        <sz val="11"/>
        <rFont val="WenQuanYi Zen Hei"/>
        <family val="2"/>
      </rPr>
      <t xml:space="preserve">스포츠안전재단 교육장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서울 송파구 올림픽로 </t>
    </r>
    <r>
      <rPr>
        <b val="true"/>
        <sz val="11"/>
        <rFont val="맑은 고딕"/>
        <family val="0"/>
        <charset val="1"/>
      </rPr>
      <t xml:space="preserve">424, </t>
    </r>
    <r>
      <rPr>
        <b val="true"/>
        <sz val="11"/>
        <rFont val="WenQuanYi Zen Hei"/>
        <family val="2"/>
      </rPr>
      <t xml:space="preserve">올림픽공원 테니스경기장 </t>
    </r>
    <r>
      <rPr>
        <b val="true"/>
        <sz val="11"/>
        <rFont val="맑은 고딕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층</t>
    </r>
    <r>
      <rPr>
        <b val="true"/>
        <sz val="11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</si>
  <si>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제도적 제약</t>
    </r>
  </si>
  <si>
    <t xml:space="preserve">서면 평가지 작성</t>
  </si>
  <si>
    <r>
      <rPr>
        <i val="true"/>
        <sz val="9"/>
        <color rgb="FF595959"/>
        <rFont val="WenQuanYi Zen Hei"/>
        <family val="2"/>
      </rPr>
      <t xml:space="preserve">참석자 등록은 시작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분 전부터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시작 후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분까지 입장 가능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사후 서면 의견은 종료 후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영업일 이내 접수</t>
    </r>
    <r>
      <rPr>
        <i val="true"/>
        <sz val="9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</si>
</sst>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"/>
    <numFmt numFmtId="166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0"/>
      <charset val="1"/>
    </font>
    <font>
      <b val="true"/>
      <sz val="14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1"/>
      <name val="WenQuanYi Zen Hei"/>
      <family val="2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color rgb="FF0000FF"/>
      <name val="WenQuanYi Zen Hei"/>
      <family val="2"/>
    </font>
    <font>
      <b val="true"/>
      <sz val="10"/>
      <color rgb="FF0000FF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26.85" hidden="false" customHeight="false" outlineLevel="0" collapsed="false">
      <c r="A6" s="5" t="s">
        <v>8</v>
      </c>
      <c r="B6" s="6" t="s">
        <v>9</v>
      </c>
      <c r="C6" s="5" t="s">
        <v>10</v>
      </c>
      <c r="D6" s="5" t="s">
        <v>11</v>
      </c>
      <c r="E6" s="6" t="s">
        <v>12</v>
      </c>
    </row>
    <row r="7" customFormat="false" ht="26.85" hidden="false" customHeight="false" outlineLevel="0" collapsed="false">
      <c r="A7" s="5" t="s">
        <v>13</v>
      </c>
      <c r="B7" s="6" t="s">
        <v>14</v>
      </c>
      <c r="C7" s="5" t="s">
        <v>15</v>
      </c>
      <c r="D7" s="5" t="s">
        <v>16</v>
      </c>
      <c r="E7" s="6" t="s">
        <v>17</v>
      </c>
    </row>
    <row r="8" customFormat="false" ht="26.85" hidden="false" customHeight="false" outlineLevel="0" collapsed="false">
      <c r="A8" s="5" t="s">
        <v>18</v>
      </c>
      <c r="B8" s="6" t="s">
        <v>19</v>
      </c>
      <c r="C8" s="5" t="s">
        <v>20</v>
      </c>
      <c r="D8" s="5" t="s">
        <v>21</v>
      </c>
      <c r="E8" s="6" t="s">
        <v>22</v>
      </c>
    </row>
    <row r="9" customFormat="false" ht="26.85" hidden="false" customHeight="false" outlineLevel="0" collapsed="false">
      <c r="A9" s="5" t="s">
        <v>23</v>
      </c>
      <c r="B9" s="6" t="s">
        <v>24</v>
      </c>
      <c r="C9" s="5" t="s">
        <v>15</v>
      </c>
      <c r="D9" s="5" t="s">
        <v>25</v>
      </c>
      <c r="E9" s="6" t="s">
        <v>26</v>
      </c>
    </row>
    <row r="11" customFormat="false" ht="15" hidden="false" customHeight="false" outlineLevel="0" collapsed="false">
      <c r="A11" s="3" t="s">
        <v>27</v>
      </c>
    </row>
    <row r="12" customFormat="false" ht="15" hidden="false" customHeight="false" outlineLevel="0" collapsed="false">
      <c r="A12" s="4" t="s">
        <v>28</v>
      </c>
      <c r="B12" s="4" t="s">
        <v>29</v>
      </c>
      <c r="C12" s="4" t="s">
        <v>30</v>
      </c>
      <c r="D12" s="4" t="s">
        <v>31</v>
      </c>
      <c r="E12" s="4"/>
    </row>
    <row r="13" customFormat="false" ht="26.85" hidden="false" customHeight="false" outlineLevel="0" collapsed="false">
      <c r="A13" s="5" t="s">
        <v>32</v>
      </c>
      <c r="B13" s="6" t="s">
        <v>33</v>
      </c>
      <c r="C13" s="6" t="s">
        <v>34</v>
      </c>
      <c r="D13" s="5" t="s">
        <v>35</v>
      </c>
      <c r="E13" s="5"/>
    </row>
    <row r="14" customFormat="false" ht="39.55" hidden="false" customHeight="false" outlineLevel="0" collapsed="false">
      <c r="A14" s="6" t="s">
        <v>36</v>
      </c>
      <c r="B14" s="5" t="s">
        <v>37</v>
      </c>
      <c r="C14" s="5" t="s">
        <v>38</v>
      </c>
      <c r="D14" s="5" t="s">
        <v>39</v>
      </c>
      <c r="E14" s="5"/>
    </row>
    <row r="15" customFormat="false" ht="15" hidden="false" customHeight="false" outlineLevel="0" collapsed="false">
      <c r="A15" s="5" t="s">
        <v>40</v>
      </c>
      <c r="B15" s="5" t="s">
        <v>41</v>
      </c>
      <c r="C15" s="5" t="s">
        <v>42</v>
      </c>
      <c r="D15" s="5" t="s">
        <v>43</v>
      </c>
      <c r="E15" s="5"/>
    </row>
    <row r="17" customFormat="false" ht="15" hidden="false" customHeight="false" outlineLevel="0" collapsed="false">
      <c r="A17" s="3" t="s">
        <v>44</v>
      </c>
    </row>
    <row r="18" customFormat="false" ht="15" hidden="false" customHeight="true" outlineLevel="0" collapsed="false">
      <c r="A18" s="7" t="s">
        <v>45</v>
      </c>
      <c r="B18" s="8" t="s">
        <v>46</v>
      </c>
      <c r="C18" s="8"/>
      <c r="D18" s="8"/>
      <c r="E18" s="8"/>
    </row>
    <row r="19" customFormat="false" ht="15" hidden="false" customHeight="true" outlineLevel="0" collapsed="false">
      <c r="A19" s="9" t="s">
        <v>47</v>
      </c>
      <c r="B19" s="8" t="s">
        <v>48</v>
      </c>
      <c r="C19" s="8"/>
      <c r="D19" s="8"/>
      <c r="E19" s="8"/>
    </row>
    <row r="20" customFormat="false" ht="15" hidden="false" customHeight="true" outlineLevel="0" collapsed="false">
      <c r="A20" s="10" t="s">
        <v>49</v>
      </c>
      <c r="B20" s="8" t="s">
        <v>50</v>
      </c>
      <c r="C20" s="8"/>
      <c r="D20" s="8"/>
      <c r="E20" s="8"/>
    </row>
    <row r="21" customFormat="false" ht="15" hidden="false" customHeight="true" outlineLevel="0" collapsed="false">
      <c r="A21" s="11" t="s">
        <v>51</v>
      </c>
      <c r="B21" s="8" t="s">
        <v>52</v>
      </c>
      <c r="C21" s="8"/>
      <c r="D21" s="8"/>
      <c r="E21" s="8"/>
    </row>
    <row r="22" customFormat="false" ht="15" hidden="false" customHeight="true" outlineLevel="0" collapsed="false">
      <c r="A22" s="12" t="s">
        <v>53</v>
      </c>
      <c r="B22" s="8" t="s">
        <v>54</v>
      </c>
      <c r="C22" s="8"/>
      <c r="D22" s="8"/>
      <c r="E22" s="8"/>
    </row>
    <row r="23" customFormat="false" ht="15" hidden="false" customHeight="true" outlineLevel="0" collapsed="false">
      <c r="A23" s="13" t="s">
        <v>55</v>
      </c>
      <c r="B23" s="8" t="s">
        <v>56</v>
      </c>
      <c r="C23" s="8"/>
      <c r="D23" s="8"/>
      <c r="E23" s="8"/>
    </row>
    <row r="24" customFormat="false" ht="15" hidden="false" customHeight="true" outlineLevel="0" collapsed="false">
      <c r="A24" s="14" t="s">
        <v>57</v>
      </c>
      <c r="B24" s="8" t="s">
        <v>58</v>
      </c>
      <c r="C24" s="8"/>
      <c r="D24" s="8"/>
      <c r="E24" s="8"/>
    </row>
    <row r="26" customFormat="false" ht="15" hidden="false" customHeight="false" outlineLevel="0" collapsed="false">
      <c r="A26" s="3" t="s">
        <v>59</v>
      </c>
    </row>
    <row r="27" customFormat="false" ht="15" hidden="false" customHeight="false" outlineLevel="0" collapsed="false">
      <c r="A27" s="4" t="s">
        <v>60</v>
      </c>
      <c r="B27" s="4" t="s">
        <v>61</v>
      </c>
      <c r="C27" s="4" t="s">
        <v>62</v>
      </c>
      <c r="D27" s="4" t="s">
        <v>63</v>
      </c>
      <c r="E27" s="4"/>
    </row>
    <row r="28" customFormat="false" ht="15" hidden="false" customHeight="false" outlineLevel="0" collapsed="false">
      <c r="A28" s="6" t="s">
        <v>64</v>
      </c>
      <c r="B28" s="7" t="s">
        <v>65</v>
      </c>
      <c r="C28" s="7"/>
      <c r="D28" s="5" t="s">
        <v>66</v>
      </c>
    </row>
    <row r="29" customFormat="false" ht="15" hidden="false" customHeight="false" outlineLevel="0" collapsed="false">
      <c r="A29" s="5" t="s">
        <v>67</v>
      </c>
      <c r="B29" s="7"/>
      <c r="C29" s="7"/>
      <c r="D29" s="5" t="s">
        <v>68</v>
      </c>
    </row>
    <row r="30" customFormat="false" ht="15" hidden="false" customHeight="false" outlineLevel="0" collapsed="false">
      <c r="A30" s="5" t="s">
        <v>69</v>
      </c>
      <c r="B30" s="7"/>
      <c r="C30" s="7"/>
      <c r="D30" s="5" t="s">
        <v>70</v>
      </c>
    </row>
    <row r="31" customFormat="false" ht="15" hidden="false" customHeight="false" outlineLevel="0" collapsed="false">
      <c r="A31" s="5" t="s">
        <v>71</v>
      </c>
      <c r="B31" s="7"/>
      <c r="C31" s="7"/>
      <c r="D31" s="5" t="s">
        <v>72</v>
      </c>
    </row>
    <row r="32" customFormat="false" ht="15" hidden="false" customHeight="false" outlineLevel="0" collapsed="false">
      <c r="A32" s="5" t="s">
        <v>73</v>
      </c>
      <c r="B32" s="7"/>
      <c r="C32" s="7"/>
      <c r="D32" s="5" t="s">
        <v>74</v>
      </c>
    </row>
    <row r="33" customFormat="false" ht="15" hidden="false" customHeight="false" outlineLevel="0" collapsed="false">
      <c r="A33" s="5" t="s">
        <v>75</v>
      </c>
      <c r="B33" s="7"/>
      <c r="C33" s="7"/>
      <c r="D33" s="5" t="s">
        <v>76</v>
      </c>
    </row>
    <row r="34" customFormat="false" ht="15" hidden="false" customHeight="false" outlineLevel="0" collapsed="false">
      <c r="A34" s="5" t="s">
        <v>77</v>
      </c>
      <c r="B34" s="7"/>
      <c r="C34" s="7"/>
      <c r="D34" s="5" t="s">
        <v>78</v>
      </c>
    </row>
    <row r="35" customFormat="false" ht="15" hidden="false" customHeight="false" outlineLevel="0" collapsed="false">
      <c r="A35" s="2" t="s">
        <v>79</v>
      </c>
    </row>
    <row r="37" customFormat="false" ht="15" hidden="false" customHeight="false" outlineLevel="0" collapsed="false">
      <c r="A37" s="3" t="s">
        <v>80</v>
      </c>
    </row>
    <row r="38" customFormat="false" ht="14.15" hidden="false" customHeight="false" outlineLevel="0" collapsed="false">
      <c r="A38" s="15" t="s">
        <v>81</v>
      </c>
      <c r="B38" s="15"/>
      <c r="C38" s="15"/>
      <c r="D38" s="15"/>
      <c r="E38" s="15"/>
    </row>
    <row r="39" customFormat="false" ht="14.15" hidden="false" customHeight="false" outlineLevel="0" collapsed="false">
      <c r="A39" s="15" t="s">
        <v>82</v>
      </c>
      <c r="B39" s="15"/>
      <c r="C39" s="15"/>
      <c r="D39" s="15"/>
      <c r="E39" s="15"/>
    </row>
    <row r="40" customFormat="false" ht="14.15" hidden="false" customHeight="false" outlineLevel="0" collapsed="false">
      <c r="A40" s="15" t="s">
        <v>83</v>
      </c>
      <c r="B40" s="15"/>
      <c r="C40" s="15"/>
      <c r="D40" s="15"/>
      <c r="E40" s="15"/>
    </row>
    <row r="41" customFormat="false" ht="14.15" hidden="false" customHeight="false" outlineLevel="0" collapsed="false">
      <c r="A41" s="15" t="s">
        <v>84</v>
      </c>
      <c r="B41" s="15"/>
      <c r="C41" s="15"/>
      <c r="D41" s="15"/>
      <c r="E41" s="15"/>
    </row>
    <row r="42" customFormat="false" ht="14.15" hidden="false" customHeight="false" outlineLevel="0" collapsed="false">
      <c r="A42" s="16" t="s">
        <v>85</v>
      </c>
      <c r="B42" s="16"/>
      <c r="C42" s="16"/>
      <c r="D42" s="16"/>
      <c r="E42" s="16"/>
    </row>
  </sheetData>
  <mergeCells count="12">
    <mergeCell ref="B18:E18"/>
    <mergeCell ref="B19:E19"/>
    <mergeCell ref="B20:E20"/>
    <mergeCell ref="B21:E21"/>
    <mergeCell ref="B22:E22"/>
    <mergeCell ref="B23:E23"/>
    <mergeCell ref="B24:E24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6"/>
  </cols>
  <sheetData>
    <row r="1" customFormat="false" ht="19.4" hidden="false" customHeight="false" outlineLevel="0" collapsed="false">
      <c r="A1" s="17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3" t="s">
        <v>88</v>
      </c>
    </row>
    <row r="5" customFormat="false" ht="15" hidden="false" customHeight="false" outlineLevel="0" collapsed="false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  <c r="F5" s="4" t="s">
        <v>31</v>
      </c>
    </row>
    <row r="6" customFormat="false" ht="15" hidden="false" customHeight="false" outlineLevel="0" collapsed="false">
      <c r="A6" s="18" t="s">
        <v>94</v>
      </c>
      <c r="B6" s="6" t="s">
        <v>95</v>
      </c>
      <c r="C6" s="6" t="s">
        <v>96</v>
      </c>
      <c r="D6" s="6" t="s">
        <v>97</v>
      </c>
      <c r="E6" s="6" t="s">
        <v>98</v>
      </c>
      <c r="F6" s="5" t="s">
        <v>99</v>
      </c>
    </row>
    <row r="7" customFormat="false" ht="26.85" hidden="false" customHeight="false" outlineLevel="0" collapsed="false">
      <c r="A7" s="18" t="s">
        <v>100</v>
      </c>
      <c r="B7" s="6" t="s">
        <v>101</v>
      </c>
      <c r="C7" s="6" t="s">
        <v>102</v>
      </c>
      <c r="D7" s="6" t="s">
        <v>98</v>
      </c>
      <c r="E7" s="6" t="s">
        <v>103</v>
      </c>
      <c r="F7" s="5"/>
    </row>
    <row r="8" customFormat="false" ht="15" hidden="false" customHeight="false" outlineLevel="0" collapsed="false">
      <c r="A8" s="18" t="s">
        <v>104</v>
      </c>
      <c r="B8" s="6" t="s">
        <v>105</v>
      </c>
      <c r="C8" s="6" t="s">
        <v>106</v>
      </c>
      <c r="D8" s="6" t="s">
        <v>107</v>
      </c>
      <c r="E8" s="6" t="s">
        <v>108</v>
      </c>
      <c r="F8" s="6" t="s">
        <v>109</v>
      </c>
    </row>
    <row r="9" customFormat="false" ht="15" hidden="false" customHeight="false" outlineLevel="0" collapsed="false">
      <c r="A9" s="18" t="s">
        <v>110</v>
      </c>
      <c r="B9" s="6" t="s">
        <v>106</v>
      </c>
      <c r="C9" s="6" t="s">
        <v>111</v>
      </c>
      <c r="D9" s="6" t="s">
        <v>103</v>
      </c>
      <c r="E9" s="6" t="s">
        <v>112</v>
      </c>
      <c r="F9" s="5"/>
    </row>
    <row r="10" customFormat="false" ht="26.85" hidden="false" customHeight="false" outlineLevel="0" collapsed="false">
      <c r="A10" s="19" t="s">
        <v>113</v>
      </c>
      <c r="B10" s="6" t="s">
        <v>114</v>
      </c>
      <c r="C10" s="6" t="s">
        <v>97</v>
      </c>
      <c r="D10" s="6" t="s">
        <v>112</v>
      </c>
      <c r="E10" s="6" t="s">
        <v>115</v>
      </c>
      <c r="F10" s="5"/>
    </row>
    <row r="11" customFormat="false" ht="39.55" hidden="false" customHeight="false" outlineLevel="0" collapsed="false">
      <c r="A11" s="19" t="s">
        <v>116</v>
      </c>
      <c r="B11" s="6" t="s">
        <v>108</v>
      </c>
      <c r="C11" s="6" t="s">
        <v>112</v>
      </c>
      <c r="D11" s="6" t="s">
        <v>117</v>
      </c>
      <c r="E11" s="6" t="s">
        <v>118</v>
      </c>
      <c r="F11" s="5" t="s">
        <v>119</v>
      </c>
    </row>
    <row r="13" customFormat="false" ht="15" hidden="false" customHeight="false" outlineLevel="0" collapsed="false">
      <c r="A13" s="3" t="s">
        <v>120</v>
      </c>
    </row>
    <row r="14" customFormat="false" ht="15" hidden="false" customHeight="true" outlineLevel="0" collapsed="false">
      <c r="A14" s="4" t="s">
        <v>89</v>
      </c>
      <c r="B14" s="4" t="s">
        <v>121</v>
      </c>
      <c r="C14" s="4"/>
      <c r="D14" s="4"/>
      <c r="E14" s="4" t="s">
        <v>122</v>
      </c>
      <c r="F14" s="4" t="s">
        <v>123</v>
      </c>
    </row>
    <row r="15" customFormat="false" ht="30" hidden="false" customHeight="true" outlineLevel="0" collapsed="false">
      <c r="A15" s="6" t="s">
        <v>124</v>
      </c>
      <c r="B15" s="5" t="s">
        <v>125</v>
      </c>
      <c r="C15" s="5"/>
      <c r="D15" s="5"/>
      <c r="E15" s="5" t="s">
        <v>75</v>
      </c>
      <c r="F15" s="20" t="s">
        <v>126</v>
      </c>
    </row>
    <row r="16" customFormat="false" ht="30" hidden="false" customHeight="true" outlineLevel="0" collapsed="false">
      <c r="A16" s="6" t="s">
        <v>124</v>
      </c>
      <c r="B16" s="5" t="s">
        <v>127</v>
      </c>
      <c r="C16" s="5"/>
      <c r="D16" s="5"/>
      <c r="E16" s="5" t="s">
        <v>128</v>
      </c>
      <c r="F16" s="20" t="s">
        <v>126</v>
      </c>
    </row>
    <row r="17" customFormat="false" ht="30" hidden="false" customHeight="true" outlineLevel="0" collapsed="false">
      <c r="A17" s="6" t="s">
        <v>124</v>
      </c>
      <c r="B17" s="5" t="s">
        <v>129</v>
      </c>
      <c r="C17" s="5"/>
      <c r="D17" s="5"/>
      <c r="E17" s="6" t="s">
        <v>130</v>
      </c>
      <c r="F17" s="20" t="s">
        <v>126</v>
      </c>
    </row>
    <row r="18" customFormat="false" ht="30" hidden="false" customHeight="true" outlineLevel="0" collapsed="false">
      <c r="A18" s="6" t="s">
        <v>124</v>
      </c>
      <c r="B18" s="5" t="s">
        <v>131</v>
      </c>
      <c r="C18" s="5"/>
      <c r="D18" s="5"/>
      <c r="E18" s="5" t="s">
        <v>128</v>
      </c>
      <c r="F18" s="20" t="s">
        <v>126</v>
      </c>
    </row>
    <row r="19" customFormat="false" ht="30" hidden="false" customHeight="true" outlineLevel="0" collapsed="false">
      <c r="A19" s="6" t="s">
        <v>124</v>
      </c>
      <c r="B19" s="5" t="s">
        <v>132</v>
      </c>
      <c r="C19" s="5"/>
      <c r="D19" s="5"/>
      <c r="E19" s="5" t="s">
        <v>128</v>
      </c>
      <c r="F19" s="20" t="s">
        <v>126</v>
      </c>
    </row>
    <row r="20" customFormat="false" ht="30" hidden="false" customHeight="true" outlineLevel="0" collapsed="false">
      <c r="A20" s="6" t="s">
        <v>124</v>
      </c>
      <c r="B20" s="5" t="s">
        <v>133</v>
      </c>
      <c r="C20" s="5"/>
      <c r="D20" s="5"/>
      <c r="E20" s="6" t="s">
        <v>130</v>
      </c>
      <c r="F20" s="20" t="s">
        <v>126</v>
      </c>
    </row>
    <row r="22" customFormat="false" ht="15" hidden="false" customHeight="false" outlineLevel="0" collapsed="false">
      <c r="A22" s="3" t="s">
        <v>134</v>
      </c>
    </row>
    <row r="23" customFormat="false" ht="15" hidden="false" customHeight="true" outlineLevel="0" collapsed="false">
      <c r="A23" s="4" t="s">
        <v>89</v>
      </c>
      <c r="B23" s="4" t="s">
        <v>121</v>
      </c>
      <c r="C23" s="4"/>
      <c r="D23" s="4"/>
      <c r="E23" s="4" t="s">
        <v>122</v>
      </c>
      <c r="F23" s="4" t="s">
        <v>123</v>
      </c>
    </row>
    <row r="24" customFormat="false" ht="30" hidden="false" customHeight="true" outlineLevel="0" collapsed="false">
      <c r="A24" s="6" t="s">
        <v>135</v>
      </c>
      <c r="B24" s="5" t="s">
        <v>136</v>
      </c>
      <c r="C24" s="5"/>
      <c r="D24" s="5"/>
      <c r="E24" s="6" t="s">
        <v>130</v>
      </c>
      <c r="F24" s="20" t="s">
        <v>126</v>
      </c>
    </row>
    <row r="25" customFormat="false" ht="30" hidden="false" customHeight="true" outlineLevel="0" collapsed="false">
      <c r="A25" s="6" t="s">
        <v>135</v>
      </c>
      <c r="B25" s="5" t="s">
        <v>137</v>
      </c>
      <c r="C25" s="5"/>
      <c r="D25" s="5"/>
      <c r="E25" s="5" t="s">
        <v>128</v>
      </c>
      <c r="F25" s="20" t="s">
        <v>126</v>
      </c>
    </row>
    <row r="26" customFormat="false" ht="30" hidden="false" customHeight="true" outlineLevel="0" collapsed="false">
      <c r="A26" s="6" t="s">
        <v>135</v>
      </c>
      <c r="B26" s="5" t="s">
        <v>138</v>
      </c>
      <c r="C26" s="5"/>
      <c r="D26" s="5"/>
      <c r="E26" s="5" t="s">
        <v>71</v>
      </c>
      <c r="F26" s="20" t="s">
        <v>126</v>
      </c>
    </row>
    <row r="27" customFormat="false" ht="30" hidden="false" customHeight="true" outlineLevel="0" collapsed="false">
      <c r="A27" s="6" t="s">
        <v>135</v>
      </c>
      <c r="B27" s="5" t="s">
        <v>139</v>
      </c>
      <c r="C27" s="5"/>
      <c r="D27" s="5"/>
      <c r="E27" s="5" t="s">
        <v>140</v>
      </c>
      <c r="F27" s="20" t="s">
        <v>126</v>
      </c>
    </row>
    <row r="28" customFormat="false" ht="30" hidden="false" customHeight="true" outlineLevel="0" collapsed="false">
      <c r="A28" s="6" t="s">
        <v>135</v>
      </c>
      <c r="B28" s="5" t="s">
        <v>141</v>
      </c>
      <c r="C28" s="5"/>
      <c r="D28" s="5"/>
      <c r="E28" s="6" t="s">
        <v>130</v>
      </c>
      <c r="F28" s="20" t="s">
        <v>126</v>
      </c>
    </row>
    <row r="29" customFormat="false" ht="30" hidden="false" customHeight="true" outlineLevel="0" collapsed="false">
      <c r="A29" s="6" t="s">
        <v>135</v>
      </c>
      <c r="B29" s="6" t="s">
        <v>142</v>
      </c>
      <c r="C29" s="6"/>
      <c r="D29" s="6"/>
      <c r="E29" s="5" t="s">
        <v>75</v>
      </c>
      <c r="F29" s="20" t="s">
        <v>126</v>
      </c>
    </row>
    <row r="31" customFormat="false" ht="15" hidden="false" customHeight="false" outlineLevel="0" collapsed="false">
      <c r="A31" s="3" t="s">
        <v>143</v>
      </c>
    </row>
    <row r="32" customFormat="false" ht="15" hidden="false" customHeight="true" outlineLevel="0" collapsed="false">
      <c r="A32" s="4" t="s">
        <v>89</v>
      </c>
      <c r="B32" s="4" t="s">
        <v>121</v>
      </c>
      <c r="C32" s="4"/>
      <c r="D32" s="4"/>
      <c r="E32" s="4" t="s">
        <v>122</v>
      </c>
      <c r="F32" s="4" t="s">
        <v>123</v>
      </c>
    </row>
    <row r="33" customFormat="false" ht="30" hidden="false" customHeight="true" outlineLevel="0" collapsed="false">
      <c r="A33" s="6" t="s">
        <v>144</v>
      </c>
      <c r="B33" s="5" t="s">
        <v>145</v>
      </c>
      <c r="C33" s="5"/>
      <c r="D33" s="5"/>
      <c r="E33" s="5" t="s">
        <v>146</v>
      </c>
      <c r="F33" s="20" t="s">
        <v>126</v>
      </c>
    </row>
    <row r="34" customFormat="false" ht="30" hidden="false" customHeight="true" outlineLevel="0" collapsed="false">
      <c r="A34" s="6" t="s">
        <v>147</v>
      </c>
      <c r="B34" s="5" t="s">
        <v>148</v>
      </c>
      <c r="C34" s="5"/>
      <c r="D34" s="5"/>
      <c r="E34" s="6" t="s">
        <v>130</v>
      </c>
      <c r="F34" s="20" t="s">
        <v>126</v>
      </c>
    </row>
    <row r="35" customFormat="false" ht="30" hidden="false" customHeight="true" outlineLevel="0" collapsed="false">
      <c r="A35" s="6" t="s">
        <v>149</v>
      </c>
      <c r="B35" s="5" t="s">
        <v>150</v>
      </c>
      <c r="C35" s="5"/>
      <c r="D35" s="5"/>
      <c r="E35" s="5" t="s">
        <v>69</v>
      </c>
      <c r="F35" s="20" t="s">
        <v>126</v>
      </c>
    </row>
    <row r="36" customFormat="false" ht="30" hidden="false" customHeight="true" outlineLevel="0" collapsed="false">
      <c r="A36" s="5" t="s">
        <v>151</v>
      </c>
      <c r="B36" s="5" t="s">
        <v>152</v>
      </c>
      <c r="C36" s="5"/>
      <c r="D36" s="5"/>
      <c r="E36" s="5" t="s">
        <v>153</v>
      </c>
      <c r="F36" s="20" t="s">
        <v>126</v>
      </c>
    </row>
    <row r="37" customFormat="false" ht="30" hidden="false" customHeight="true" outlineLevel="0" collapsed="false">
      <c r="A37" s="6" t="s">
        <v>154</v>
      </c>
      <c r="B37" s="5" t="s">
        <v>155</v>
      </c>
      <c r="C37" s="5"/>
      <c r="D37" s="5"/>
      <c r="E37" s="5" t="s">
        <v>153</v>
      </c>
      <c r="F37" s="20" t="s">
        <v>126</v>
      </c>
    </row>
    <row r="38" customFormat="false" ht="30" hidden="false" customHeight="true" outlineLevel="0" collapsed="false">
      <c r="A38" s="6" t="s">
        <v>156</v>
      </c>
      <c r="B38" s="5" t="s">
        <v>157</v>
      </c>
      <c r="C38" s="5"/>
      <c r="D38" s="5"/>
      <c r="E38" s="6" t="s">
        <v>130</v>
      </c>
      <c r="F38" s="20" t="s">
        <v>126</v>
      </c>
    </row>
  </sheetData>
  <mergeCells count="21">
    <mergeCell ref="B14:D14"/>
    <mergeCell ref="B15:D15"/>
    <mergeCell ref="B16:D16"/>
    <mergeCell ref="B17:D17"/>
    <mergeCell ref="B18:D18"/>
    <mergeCell ref="B19:D19"/>
    <mergeCell ref="B20:D20"/>
    <mergeCell ref="B23:D23"/>
    <mergeCell ref="B24:D24"/>
    <mergeCell ref="B25:D25"/>
    <mergeCell ref="B26:D26"/>
    <mergeCell ref="B27:D27"/>
    <mergeCell ref="B28:D28"/>
    <mergeCell ref="B29:D29"/>
    <mergeCell ref="B32:D32"/>
    <mergeCell ref="B33:D33"/>
    <mergeCell ref="B34:D34"/>
    <mergeCell ref="B35:D35"/>
    <mergeCell ref="B36:D36"/>
    <mergeCell ref="B37:D37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7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22"/>
  </cols>
  <sheetData>
    <row r="1" customFormat="false" ht="19.4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1" t="s">
        <v>159</v>
      </c>
    </row>
    <row r="3" customFormat="false" ht="15" hidden="false" customHeight="false" outlineLevel="0" collapsed="false">
      <c r="A3" s="22" t="s">
        <v>160</v>
      </c>
    </row>
    <row r="4" customFormat="false" ht="15" hidden="false" customHeight="false" outlineLevel="0" collapsed="false">
      <c r="A4" s="23" t="s">
        <v>161</v>
      </c>
      <c r="C4" s="24" t="s">
        <v>162</v>
      </c>
      <c r="D4" s="2" t="s">
        <v>163</v>
      </c>
    </row>
    <row r="5" customFormat="false" ht="15" hidden="false" customHeight="false" outlineLevel="0" collapsed="false">
      <c r="A5" s="23" t="s">
        <v>164</v>
      </c>
      <c r="C5" s="22" t="s">
        <v>165</v>
      </c>
    </row>
    <row r="6" customFormat="false" ht="15" hidden="false" customHeight="false" outlineLevel="0" collapsed="false">
      <c r="A6" s="23" t="s">
        <v>166</v>
      </c>
      <c r="C6" s="22" t="s">
        <v>167</v>
      </c>
    </row>
    <row r="8" customFormat="false" ht="15" hidden="false" customHeight="false" outlineLevel="0" collapsed="false">
      <c r="A8" s="25" t="s">
        <v>168</v>
      </c>
      <c r="B8" s="4" t="s">
        <v>169</v>
      </c>
      <c r="C8" s="4" t="s">
        <v>170</v>
      </c>
      <c r="D8" s="4" t="s">
        <v>171</v>
      </c>
      <c r="E8" s="4" t="s">
        <v>172</v>
      </c>
      <c r="F8" s="4" t="s">
        <v>173</v>
      </c>
      <c r="G8" s="4" t="s">
        <v>174</v>
      </c>
      <c r="H8" s="4" t="s">
        <v>175</v>
      </c>
      <c r="I8" s="4" t="s">
        <v>122</v>
      </c>
      <c r="J8" s="4" t="s">
        <v>176</v>
      </c>
      <c r="K8" s="4" t="s">
        <v>177</v>
      </c>
    </row>
    <row r="9" customFormat="false" ht="15" hidden="false" customHeight="false" outlineLevel="0" collapsed="false">
      <c r="A9" s="9" t="n">
        <v>1</v>
      </c>
      <c r="B9" s="26" t="n">
        <f aca="false">$C$4-180/1440</f>
        <v>0.458333333333333</v>
      </c>
      <c r="C9" s="9"/>
      <c r="D9" s="27" t="s">
        <v>178</v>
      </c>
      <c r="E9" s="9" t="s">
        <v>179</v>
      </c>
      <c r="F9" s="9" t="s">
        <v>180</v>
      </c>
      <c r="G9" s="9" t="s">
        <v>181</v>
      </c>
      <c r="H9" s="9"/>
      <c r="I9" s="9" t="s">
        <v>128</v>
      </c>
      <c r="J9" s="9"/>
      <c r="K9" s="9"/>
    </row>
    <row r="10" customFormat="false" ht="15" hidden="false" customHeight="false" outlineLevel="0" collapsed="false">
      <c r="A10" s="9" t="n">
        <v>2</v>
      </c>
      <c r="B10" s="26" t="n">
        <f aca="false">$C$4-90/1440</f>
        <v>0.520833333333333</v>
      </c>
      <c r="C10" s="9"/>
      <c r="D10" s="27" t="s">
        <v>182</v>
      </c>
      <c r="E10" s="9" t="s">
        <v>179</v>
      </c>
      <c r="F10" s="9" t="s">
        <v>183</v>
      </c>
      <c r="G10" s="9" t="s">
        <v>184</v>
      </c>
      <c r="H10" s="9"/>
      <c r="I10" s="9" t="s">
        <v>185</v>
      </c>
      <c r="J10" s="9"/>
      <c r="K10" s="9"/>
    </row>
    <row r="11" customFormat="false" ht="15" hidden="false" customHeight="false" outlineLevel="0" collapsed="false">
      <c r="A11" s="9" t="n">
        <v>3</v>
      </c>
      <c r="B11" s="26" t="n">
        <f aca="false">$C$4-80/1440</f>
        <v>0.527777777777778</v>
      </c>
      <c r="C11" s="9"/>
      <c r="D11" s="27" t="s">
        <v>186</v>
      </c>
      <c r="E11" s="9" t="s">
        <v>179</v>
      </c>
      <c r="F11" s="9" t="s">
        <v>187</v>
      </c>
      <c r="G11" s="9" t="s">
        <v>188</v>
      </c>
      <c r="H11" s="9"/>
      <c r="I11" s="28" t="s">
        <v>130</v>
      </c>
      <c r="J11" s="9"/>
      <c r="K11" s="9"/>
    </row>
    <row r="12" customFormat="false" ht="26.85" hidden="false" customHeight="false" outlineLevel="0" collapsed="false">
      <c r="A12" s="9" t="n">
        <v>4</v>
      </c>
      <c r="B12" s="26" t="n">
        <f aca="false">$C$4-60/1440</f>
        <v>0.541666666666667</v>
      </c>
      <c r="C12" s="9"/>
      <c r="D12" s="27" t="s">
        <v>189</v>
      </c>
      <c r="E12" s="9" t="s">
        <v>179</v>
      </c>
      <c r="F12" s="9" t="s">
        <v>190</v>
      </c>
      <c r="G12" s="9" t="s">
        <v>191</v>
      </c>
      <c r="H12" s="9"/>
      <c r="I12" s="9" t="s">
        <v>128</v>
      </c>
      <c r="J12" s="9"/>
      <c r="K12" s="9"/>
    </row>
    <row r="13" customFormat="false" ht="26.85" hidden="false" customHeight="false" outlineLevel="0" collapsed="false">
      <c r="A13" s="9" t="n">
        <v>5</v>
      </c>
      <c r="B13" s="26" t="n">
        <f aca="false">$C$4-45/1440</f>
        <v>0.552083333333333</v>
      </c>
      <c r="C13" s="9"/>
      <c r="D13" s="27" t="s">
        <v>192</v>
      </c>
      <c r="E13" s="9" t="s">
        <v>179</v>
      </c>
      <c r="F13" s="9" t="s">
        <v>75</v>
      </c>
      <c r="G13" s="9" t="s">
        <v>193</v>
      </c>
      <c r="H13" s="9"/>
      <c r="I13" s="9" t="s">
        <v>75</v>
      </c>
      <c r="J13" s="9"/>
      <c r="K13" s="9"/>
    </row>
    <row r="14" customFormat="false" ht="26.85" hidden="false" customHeight="false" outlineLevel="0" collapsed="false">
      <c r="A14" s="9" t="n">
        <v>6</v>
      </c>
      <c r="B14" s="26" t="n">
        <f aca="false">$C$4-30/1440</f>
        <v>0.5625</v>
      </c>
      <c r="C14" s="9"/>
      <c r="D14" s="27" t="s">
        <v>194</v>
      </c>
      <c r="E14" s="9" t="s">
        <v>179</v>
      </c>
      <c r="F14" s="9" t="s">
        <v>195</v>
      </c>
      <c r="G14" s="9" t="s">
        <v>196</v>
      </c>
      <c r="H14" s="9"/>
      <c r="I14" s="9" t="s">
        <v>75</v>
      </c>
      <c r="J14" s="9"/>
      <c r="K14" s="9"/>
    </row>
    <row r="15" customFormat="false" ht="26.85" hidden="false" customHeight="false" outlineLevel="0" collapsed="false">
      <c r="A15" s="9" t="n">
        <v>7</v>
      </c>
      <c r="B15" s="26" t="n">
        <f aca="false">$C$4-20/1440</f>
        <v>0.569444444444445</v>
      </c>
      <c r="C15" s="9"/>
      <c r="D15" s="27" t="s">
        <v>197</v>
      </c>
      <c r="E15" s="9" t="s">
        <v>179</v>
      </c>
      <c r="F15" s="9" t="s">
        <v>198</v>
      </c>
      <c r="G15" s="9" t="s">
        <v>199</v>
      </c>
      <c r="H15" s="9"/>
      <c r="I15" s="28" t="s">
        <v>200</v>
      </c>
      <c r="J15" s="9"/>
      <c r="K15" s="9"/>
    </row>
    <row r="16" customFormat="false" ht="26.85" hidden="false" customHeight="false" outlineLevel="0" collapsed="false">
      <c r="A16" s="9" t="n">
        <v>8</v>
      </c>
      <c r="B16" s="26" t="n">
        <f aca="false">$C$4-10/1440</f>
        <v>0.576388888888889</v>
      </c>
      <c r="C16" s="9"/>
      <c r="D16" s="27" t="s">
        <v>201</v>
      </c>
      <c r="E16" s="9" t="s">
        <v>179</v>
      </c>
      <c r="F16" s="9" t="s">
        <v>202</v>
      </c>
      <c r="G16" s="9" t="s">
        <v>203</v>
      </c>
      <c r="H16" s="9"/>
      <c r="I16" s="9" t="s">
        <v>128</v>
      </c>
      <c r="J16" s="9"/>
      <c r="K16" s="9"/>
    </row>
    <row r="17" customFormat="false" ht="15" hidden="false" customHeight="false" outlineLevel="0" collapsed="false">
      <c r="A17" s="9" t="n">
        <v>9</v>
      </c>
      <c r="B17" s="26" t="str">
        <f aca="false">$C$4</f>
        <v>14:00</v>
      </c>
      <c r="C17" s="9"/>
      <c r="D17" s="27" t="s">
        <v>204</v>
      </c>
      <c r="E17" s="9" t="s">
        <v>179</v>
      </c>
      <c r="F17" s="9" t="s">
        <v>169</v>
      </c>
      <c r="G17" s="9" t="s">
        <v>205</v>
      </c>
      <c r="H17" s="9"/>
      <c r="I17" s="9" t="s">
        <v>206</v>
      </c>
      <c r="J17" s="9"/>
      <c r="K17" s="9"/>
    </row>
    <row r="18" customFormat="false" ht="26.85" hidden="false" customHeight="false" outlineLevel="0" collapsed="false">
      <c r="A18" s="10" t="n">
        <v>10</v>
      </c>
      <c r="B18" s="29" t="str">
        <f aca="false">$C$4</f>
        <v>14:00</v>
      </c>
      <c r="C18" s="29" t="n">
        <f aca="false">B18+D18/1440</f>
        <v>0.590277777777778</v>
      </c>
      <c r="D18" s="30" t="n">
        <v>10</v>
      </c>
      <c r="E18" s="10" t="s">
        <v>207</v>
      </c>
      <c r="F18" s="10" t="s">
        <v>172</v>
      </c>
      <c r="G18" s="10" t="s">
        <v>208</v>
      </c>
      <c r="H18" s="10"/>
      <c r="I18" s="10"/>
      <c r="J18" s="10" t="s">
        <v>209</v>
      </c>
      <c r="K18" s="10"/>
    </row>
    <row r="19" customFormat="false" ht="26.85" hidden="false" customHeight="false" outlineLevel="0" collapsed="false">
      <c r="A19" s="5" t="n">
        <v>11</v>
      </c>
      <c r="B19" s="5"/>
      <c r="C19" s="5"/>
      <c r="D19" s="5"/>
      <c r="E19" s="5"/>
      <c r="F19" s="31" t="s">
        <v>210</v>
      </c>
      <c r="G19" s="5" t="s">
        <v>211</v>
      </c>
      <c r="H19" s="5"/>
      <c r="I19" s="5" t="s">
        <v>67</v>
      </c>
      <c r="J19" s="5"/>
      <c r="K19" s="5"/>
    </row>
    <row r="20" customFormat="false" ht="26.85" hidden="false" customHeight="false" outlineLevel="0" collapsed="false">
      <c r="A20" s="5" t="n">
        <v>12</v>
      </c>
      <c r="B20" s="5"/>
      <c r="C20" s="5"/>
      <c r="D20" s="5"/>
      <c r="E20" s="5"/>
      <c r="F20" s="31" t="s">
        <v>212</v>
      </c>
      <c r="G20" s="5" t="s">
        <v>213</v>
      </c>
      <c r="H20" s="5"/>
      <c r="I20" s="5" t="s">
        <v>67</v>
      </c>
      <c r="J20" s="5"/>
      <c r="K20" s="5"/>
    </row>
    <row r="21" customFormat="false" ht="15" hidden="false" customHeight="false" outlineLevel="0" collapsed="false">
      <c r="A21" s="5" t="n">
        <v>13</v>
      </c>
      <c r="B21" s="5"/>
      <c r="C21" s="5"/>
      <c r="D21" s="5"/>
      <c r="E21" s="5"/>
      <c r="F21" s="31" t="s">
        <v>212</v>
      </c>
      <c r="G21" s="5" t="s">
        <v>214</v>
      </c>
      <c r="H21" s="5"/>
      <c r="I21" s="5" t="s">
        <v>67</v>
      </c>
      <c r="J21" s="5"/>
      <c r="K21" s="5"/>
    </row>
    <row r="22" customFormat="false" ht="15" hidden="false" customHeight="false" outlineLevel="0" collapsed="false">
      <c r="A22" s="5" t="n">
        <v>14</v>
      </c>
      <c r="B22" s="5"/>
      <c r="C22" s="5"/>
      <c r="D22" s="5"/>
      <c r="E22" s="5"/>
      <c r="F22" s="31" t="s">
        <v>123</v>
      </c>
      <c r="G22" s="5" t="s">
        <v>215</v>
      </c>
      <c r="H22" s="5" t="s">
        <v>216</v>
      </c>
      <c r="I22" s="5" t="s">
        <v>67</v>
      </c>
      <c r="J22" s="5" t="s">
        <v>217</v>
      </c>
      <c r="K22" s="5"/>
    </row>
    <row r="23" customFormat="false" ht="15" hidden="false" customHeight="false" outlineLevel="0" collapsed="false">
      <c r="A23" s="5" t="n">
        <v>15</v>
      </c>
      <c r="B23" s="5"/>
      <c r="C23" s="5"/>
      <c r="D23" s="5"/>
      <c r="E23" s="5"/>
      <c r="F23" s="31" t="s">
        <v>123</v>
      </c>
      <c r="G23" s="5" t="s">
        <v>218</v>
      </c>
      <c r="H23" s="5" t="s">
        <v>219</v>
      </c>
      <c r="I23" s="5" t="s">
        <v>128</v>
      </c>
      <c r="J23" s="5" t="s">
        <v>217</v>
      </c>
      <c r="K23" s="5"/>
    </row>
    <row r="24" customFormat="false" ht="15" hidden="false" customHeight="false" outlineLevel="0" collapsed="false">
      <c r="A24" s="5" t="n">
        <v>16</v>
      </c>
      <c r="B24" s="5"/>
      <c r="C24" s="5"/>
      <c r="D24" s="5"/>
      <c r="E24" s="5"/>
      <c r="F24" s="31" t="s">
        <v>210</v>
      </c>
      <c r="G24" s="5" t="s">
        <v>220</v>
      </c>
      <c r="H24" s="5"/>
      <c r="I24" s="5" t="s">
        <v>67</v>
      </c>
      <c r="J24" s="5"/>
      <c r="K24" s="5"/>
    </row>
    <row r="25" customFormat="false" ht="26.85" hidden="false" customHeight="false" outlineLevel="0" collapsed="false">
      <c r="A25" s="5" t="n">
        <v>17</v>
      </c>
      <c r="B25" s="5"/>
      <c r="C25" s="5"/>
      <c r="D25" s="5"/>
      <c r="E25" s="5"/>
      <c r="F25" s="31" t="s">
        <v>210</v>
      </c>
      <c r="G25" s="5" t="s">
        <v>221</v>
      </c>
      <c r="H25" s="5"/>
      <c r="I25" s="5" t="s">
        <v>67</v>
      </c>
      <c r="J25" s="5"/>
      <c r="K25" s="5"/>
    </row>
    <row r="26" customFormat="false" ht="26.85" hidden="false" customHeight="false" outlineLevel="0" collapsed="false">
      <c r="A26" s="5" t="n">
        <v>18</v>
      </c>
      <c r="B26" s="5"/>
      <c r="C26" s="5"/>
      <c r="D26" s="5"/>
      <c r="E26" s="5"/>
      <c r="F26" s="31" t="s">
        <v>210</v>
      </c>
      <c r="G26" s="5" t="s">
        <v>222</v>
      </c>
      <c r="H26" s="5"/>
      <c r="I26" s="5" t="s">
        <v>67</v>
      </c>
      <c r="J26" s="5"/>
      <c r="K26" s="5"/>
    </row>
    <row r="27" customFormat="false" ht="15" hidden="false" customHeight="false" outlineLevel="0" collapsed="false">
      <c r="A27" s="5" t="n">
        <v>19</v>
      </c>
      <c r="B27" s="5"/>
      <c r="C27" s="5"/>
      <c r="D27" s="5"/>
      <c r="E27" s="5"/>
      <c r="F27" s="31" t="s">
        <v>212</v>
      </c>
      <c r="G27" s="5" t="s">
        <v>223</v>
      </c>
      <c r="H27" s="5"/>
      <c r="I27" s="5" t="s">
        <v>67</v>
      </c>
      <c r="J27" s="5"/>
      <c r="K27" s="5"/>
    </row>
    <row r="28" customFormat="false" ht="52.2" hidden="false" customHeight="false" outlineLevel="0" collapsed="false">
      <c r="A28" s="5" t="n">
        <v>20</v>
      </c>
      <c r="B28" s="5"/>
      <c r="C28" s="5"/>
      <c r="D28" s="5"/>
      <c r="E28" s="5"/>
      <c r="F28" s="31" t="s">
        <v>210</v>
      </c>
      <c r="G28" s="5" t="s">
        <v>224</v>
      </c>
      <c r="H28" s="5"/>
      <c r="I28" s="5" t="s">
        <v>67</v>
      </c>
      <c r="J28" s="5"/>
      <c r="K28" s="5"/>
    </row>
    <row r="29" customFormat="false" ht="26.85" hidden="false" customHeight="false" outlineLevel="0" collapsed="false">
      <c r="A29" s="10" t="n">
        <v>21</v>
      </c>
      <c r="B29" s="29" t="n">
        <f aca="false">B18+D18/1440</f>
        <v>0.590277777777778</v>
      </c>
      <c r="C29" s="29" t="n">
        <f aca="false">B29+D29/1440</f>
        <v>0.597222222222222</v>
      </c>
      <c r="D29" s="30" t="n">
        <v>10</v>
      </c>
      <c r="E29" s="10" t="s">
        <v>225</v>
      </c>
      <c r="F29" s="10" t="s">
        <v>172</v>
      </c>
      <c r="G29" s="10" t="s">
        <v>226</v>
      </c>
      <c r="H29" s="10"/>
      <c r="I29" s="10"/>
      <c r="J29" s="10" t="s">
        <v>209</v>
      </c>
      <c r="K29" s="10"/>
    </row>
    <row r="30" customFormat="false" ht="26.85" hidden="false" customHeight="false" outlineLevel="0" collapsed="false">
      <c r="A30" s="5" t="n">
        <v>22</v>
      </c>
      <c r="B30" s="5"/>
      <c r="C30" s="5"/>
      <c r="D30" s="5"/>
      <c r="E30" s="5"/>
      <c r="F30" s="31" t="s">
        <v>227</v>
      </c>
      <c r="G30" s="5" t="s">
        <v>228</v>
      </c>
      <c r="H30" s="5"/>
      <c r="I30" s="5" t="s">
        <v>67</v>
      </c>
      <c r="J30" s="5"/>
      <c r="K30" s="5"/>
    </row>
    <row r="31" customFormat="false" ht="15" hidden="false" customHeight="false" outlineLevel="0" collapsed="false">
      <c r="A31" s="12" t="n">
        <v>23</v>
      </c>
      <c r="B31" s="12"/>
      <c r="C31" s="12"/>
      <c r="D31" s="12"/>
      <c r="E31" s="12"/>
      <c r="F31" s="32" t="s">
        <v>229</v>
      </c>
      <c r="G31" s="12" t="s">
        <v>230</v>
      </c>
      <c r="H31" s="12"/>
      <c r="I31" s="12" t="s">
        <v>71</v>
      </c>
      <c r="J31" s="12" t="s">
        <v>231</v>
      </c>
      <c r="K31" s="12"/>
    </row>
    <row r="32" customFormat="false" ht="25.35" hidden="false" customHeight="false" outlineLevel="0" collapsed="false">
      <c r="A32" s="5" t="n">
        <v>24</v>
      </c>
      <c r="B32" s="5"/>
      <c r="C32" s="5"/>
      <c r="D32" s="5"/>
      <c r="E32" s="5"/>
      <c r="F32" s="31" t="s">
        <v>227</v>
      </c>
      <c r="G32" s="5" t="s">
        <v>232</v>
      </c>
      <c r="H32" s="5"/>
      <c r="I32" s="5" t="s">
        <v>67</v>
      </c>
      <c r="J32" s="5"/>
      <c r="K32" s="5"/>
    </row>
    <row r="33" customFormat="false" ht="26.85" hidden="false" customHeight="false" outlineLevel="0" collapsed="false">
      <c r="A33" s="5" t="n">
        <v>25</v>
      </c>
      <c r="B33" s="5"/>
      <c r="C33" s="5"/>
      <c r="D33" s="5"/>
      <c r="E33" s="5"/>
      <c r="F33" s="31" t="s">
        <v>227</v>
      </c>
      <c r="G33" s="5" t="s">
        <v>233</v>
      </c>
      <c r="H33" s="5"/>
      <c r="I33" s="5" t="s">
        <v>67</v>
      </c>
      <c r="J33" s="5"/>
      <c r="K33" s="5"/>
    </row>
    <row r="34" customFormat="false" ht="26.85" hidden="false" customHeight="false" outlineLevel="0" collapsed="false">
      <c r="A34" s="10" t="n">
        <v>26</v>
      </c>
      <c r="B34" s="29" t="n">
        <f aca="false">B29+D29/1440</f>
        <v>0.597222222222222</v>
      </c>
      <c r="C34" s="29" t="n">
        <f aca="false">B34+D34/1440</f>
        <v>0.607638888888889</v>
      </c>
      <c r="D34" s="30" t="n">
        <v>15</v>
      </c>
      <c r="E34" s="10" t="s">
        <v>234</v>
      </c>
      <c r="F34" s="10" t="s">
        <v>172</v>
      </c>
      <c r="G34" s="10" t="s">
        <v>235</v>
      </c>
      <c r="H34" s="10"/>
      <c r="I34" s="10"/>
      <c r="J34" s="10" t="s">
        <v>209</v>
      </c>
      <c r="K34" s="10"/>
    </row>
    <row r="35" customFormat="false" ht="15" hidden="false" customHeight="false" outlineLevel="0" collapsed="false">
      <c r="A35" s="5" t="n">
        <v>27</v>
      </c>
      <c r="B35" s="5"/>
      <c r="C35" s="5"/>
      <c r="D35" s="5"/>
      <c r="E35" s="5"/>
      <c r="F35" s="31" t="s">
        <v>227</v>
      </c>
      <c r="G35" s="5" t="s">
        <v>236</v>
      </c>
      <c r="H35" s="5"/>
      <c r="I35" s="5" t="s">
        <v>67</v>
      </c>
      <c r="J35" s="5"/>
      <c r="K35" s="5"/>
    </row>
    <row r="36" customFormat="false" ht="15" hidden="false" customHeight="false" outlineLevel="0" collapsed="false">
      <c r="A36" s="5" t="n">
        <v>28</v>
      </c>
      <c r="B36" s="5"/>
      <c r="C36" s="5"/>
      <c r="D36" s="5"/>
      <c r="E36" s="5"/>
      <c r="F36" s="31" t="s">
        <v>227</v>
      </c>
      <c r="G36" s="5" t="s">
        <v>237</v>
      </c>
      <c r="H36" s="5"/>
      <c r="I36" s="5" t="s">
        <v>67</v>
      </c>
      <c r="J36" s="5"/>
      <c r="K36" s="5"/>
    </row>
    <row r="37" customFormat="false" ht="15" hidden="false" customHeight="false" outlineLevel="0" collapsed="false">
      <c r="A37" s="5" t="n">
        <v>29</v>
      </c>
      <c r="B37" s="5"/>
      <c r="C37" s="5"/>
      <c r="D37" s="5"/>
      <c r="E37" s="5"/>
      <c r="F37" s="31" t="s">
        <v>227</v>
      </c>
      <c r="G37" s="5" t="s">
        <v>238</v>
      </c>
      <c r="H37" s="5"/>
      <c r="I37" s="5" t="s">
        <v>67</v>
      </c>
      <c r="J37" s="5"/>
      <c r="K37" s="5"/>
    </row>
    <row r="38" customFormat="false" ht="15" hidden="false" customHeight="false" outlineLevel="0" collapsed="false">
      <c r="A38" s="11" t="n">
        <v>30</v>
      </c>
      <c r="B38" s="11"/>
      <c r="C38" s="11"/>
      <c r="D38" s="11"/>
      <c r="E38" s="11"/>
      <c r="F38" s="33" t="s">
        <v>239</v>
      </c>
      <c r="G38" s="11" t="s">
        <v>240</v>
      </c>
      <c r="H38" s="11" t="s">
        <v>241</v>
      </c>
      <c r="I38" s="11" t="s">
        <v>75</v>
      </c>
      <c r="J38" s="11" t="s">
        <v>242</v>
      </c>
      <c r="K38" s="11"/>
    </row>
    <row r="39" customFormat="false" ht="15" hidden="false" customHeight="false" outlineLevel="0" collapsed="false">
      <c r="A39" s="5" t="n">
        <v>31</v>
      </c>
      <c r="B39" s="5"/>
      <c r="C39" s="5"/>
      <c r="D39" s="5"/>
      <c r="E39" s="5"/>
      <c r="F39" s="31" t="s">
        <v>227</v>
      </c>
      <c r="G39" s="5" t="s">
        <v>243</v>
      </c>
      <c r="H39" s="5"/>
      <c r="I39" s="5" t="s">
        <v>67</v>
      </c>
      <c r="J39" s="5"/>
      <c r="K39" s="5"/>
    </row>
    <row r="40" customFormat="false" ht="15" hidden="false" customHeight="false" outlineLevel="0" collapsed="false">
      <c r="A40" s="11" t="n">
        <v>32</v>
      </c>
      <c r="B40" s="11"/>
      <c r="C40" s="11"/>
      <c r="D40" s="11"/>
      <c r="E40" s="11"/>
      <c r="F40" s="33" t="s">
        <v>239</v>
      </c>
      <c r="G40" s="11" t="s">
        <v>244</v>
      </c>
      <c r="H40" s="34" t="s">
        <v>245</v>
      </c>
      <c r="I40" s="11" t="s">
        <v>75</v>
      </c>
      <c r="J40" s="11" t="s">
        <v>242</v>
      </c>
      <c r="K40" s="11"/>
    </row>
    <row r="41" customFormat="false" ht="15" hidden="false" customHeight="false" outlineLevel="0" collapsed="false">
      <c r="A41" s="5" t="n">
        <v>33</v>
      </c>
      <c r="B41" s="5"/>
      <c r="C41" s="5"/>
      <c r="D41" s="5"/>
      <c r="E41" s="5"/>
      <c r="F41" s="31" t="s">
        <v>227</v>
      </c>
      <c r="G41" s="6" t="s">
        <v>246</v>
      </c>
      <c r="H41" s="5"/>
      <c r="I41" s="5" t="s">
        <v>67</v>
      </c>
      <c r="J41" s="5"/>
      <c r="K41" s="5"/>
    </row>
    <row r="42" customFormat="false" ht="26.85" hidden="false" customHeight="false" outlineLevel="0" collapsed="false">
      <c r="A42" s="10" t="n">
        <v>34</v>
      </c>
      <c r="B42" s="29" t="n">
        <f aca="false">B34+D34/1440</f>
        <v>0.607638888888889</v>
      </c>
      <c r="C42" s="29" t="n">
        <f aca="false">B42+D42/1440</f>
        <v>0.614583333333333</v>
      </c>
      <c r="D42" s="30" t="n">
        <v>10</v>
      </c>
      <c r="E42" s="10" t="s">
        <v>247</v>
      </c>
      <c r="F42" s="10" t="s">
        <v>172</v>
      </c>
      <c r="G42" s="10" t="s">
        <v>248</v>
      </c>
      <c r="H42" s="10"/>
      <c r="I42" s="10"/>
      <c r="J42" s="10" t="s">
        <v>209</v>
      </c>
      <c r="K42" s="10"/>
    </row>
    <row r="43" customFormat="false" ht="15" hidden="false" customHeight="false" outlineLevel="0" collapsed="false">
      <c r="A43" s="5" t="n">
        <v>35</v>
      </c>
      <c r="B43" s="5"/>
      <c r="C43" s="5"/>
      <c r="D43" s="5"/>
      <c r="E43" s="5"/>
      <c r="F43" s="31" t="s">
        <v>227</v>
      </c>
      <c r="G43" s="5" t="s">
        <v>249</v>
      </c>
      <c r="H43" s="5"/>
      <c r="I43" s="5" t="s">
        <v>67</v>
      </c>
      <c r="J43" s="5"/>
      <c r="K43" s="5"/>
    </row>
    <row r="44" customFormat="false" ht="15" hidden="false" customHeight="false" outlineLevel="0" collapsed="false">
      <c r="A44" s="12" t="n">
        <v>36</v>
      </c>
      <c r="B44" s="12"/>
      <c r="C44" s="12"/>
      <c r="D44" s="12"/>
      <c r="E44" s="12"/>
      <c r="F44" s="32" t="s">
        <v>229</v>
      </c>
      <c r="G44" s="12" t="s">
        <v>250</v>
      </c>
      <c r="H44" s="12"/>
      <c r="I44" s="12" t="s">
        <v>71</v>
      </c>
      <c r="J44" s="12" t="s">
        <v>231</v>
      </c>
      <c r="K44" s="12"/>
    </row>
    <row r="45" customFormat="false" ht="15" hidden="false" customHeight="false" outlineLevel="0" collapsed="false">
      <c r="A45" s="5" t="n">
        <v>37</v>
      </c>
      <c r="B45" s="5"/>
      <c r="C45" s="5"/>
      <c r="D45" s="5"/>
      <c r="E45" s="5"/>
      <c r="F45" s="31" t="s">
        <v>227</v>
      </c>
      <c r="G45" s="5" t="s">
        <v>251</v>
      </c>
      <c r="H45" s="5"/>
      <c r="I45" s="5" t="s">
        <v>67</v>
      </c>
      <c r="J45" s="5"/>
      <c r="K45" s="5"/>
    </row>
    <row r="46" customFormat="false" ht="15" hidden="false" customHeight="false" outlineLevel="0" collapsed="false">
      <c r="A46" s="5" t="n">
        <v>38</v>
      </c>
      <c r="B46" s="5"/>
      <c r="C46" s="5"/>
      <c r="D46" s="5"/>
      <c r="E46" s="5"/>
      <c r="F46" s="31" t="s">
        <v>227</v>
      </c>
      <c r="G46" s="5" t="s">
        <v>252</v>
      </c>
      <c r="H46" s="5"/>
      <c r="I46" s="5" t="s">
        <v>67</v>
      </c>
      <c r="J46" s="5"/>
      <c r="K46" s="5"/>
    </row>
    <row r="47" customFormat="false" ht="26.85" hidden="false" customHeight="false" outlineLevel="0" collapsed="false">
      <c r="A47" s="10" t="n">
        <v>39</v>
      </c>
      <c r="B47" s="29" t="n">
        <f aca="false">B42+D42/1440</f>
        <v>0.614583333333333</v>
      </c>
      <c r="C47" s="29" t="n">
        <f aca="false">B47+D47/1440</f>
        <v>0.621527777777778</v>
      </c>
      <c r="D47" s="30" t="n">
        <v>10</v>
      </c>
      <c r="E47" s="10" t="s">
        <v>253</v>
      </c>
      <c r="F47" s="10" t="s">
        <v>172</v>
      </c>
      <c r="G47" s="10" t="s">
        <v>254</v>
      </c>
      <c r="H47" s="10"/>
      <c r="I47" s="10"/>
      <c r="J47" s="10" t="s">
        <v>209</v>
      </c>
      <c r="K47" s="10"/>
    </row>
    <row r="48" customFormat="false" ht="26.85" hidden="false" customHeight="false" outlineLevel="0" collapsed="false">
      <c r="A48" s="5" t="n">
        <v>40</v>
      </c>
      <c r="B48" s="5"/>
      <c r="C48" s="5"/>
      <c r="D48" s="5"/>
      <c r="E48" s="5"/>
      <c r="F48" s="31" t="s">
        <v>227</v>
      </c>
      <c r="G48" s="5" t="s">
        <v>255</v>
      </c>
      <c r="H48" s="5"/>
      <c r="I48" s="5" t="s">
        <v>67</v>
      </c>
      <c r="J48" s="5"/>
      <c r="K48" s="5"/>
    </row>
    <row r="49" customFormat="false" ht="15" hidden="false" customHeight="false" outlineLevel="0" collapsed="false">
      <c r="A49" s="5" t="n">
        <v>41</v>
      </c>
      <c r="B49" s="5"/>
      <c r="C49" s="5"/>
      <c r="D49" s="5"/>
      <c r="E49" s="5"/>
      <c r="F49" s="31" t="s">
        <v>227</v>
      </c>
      <c r="G49" s="5" t="s">
        <v>256</v>
      </c>
      <c r="H49" s="5"/>
      <c r="I49" s="5" t="s">
        <v>67</v>
      </c>
      <c r="J49" s="5"/>
      <c r="K49" s="5"/>
    </row>
    <row r="50" customFormat="false" ht="15" hidden="false" customHeight="false" outlineLevel="0" collapsed="false">
      <c r="A50" s="5" t="n">
        <v>42</v>
      </c>
      <c r="B50" s="5"/>
      <c r="C50" s="5"/>
      <c r="D50" s="5"/>
      <c r="E50" s="5"/>
      <c r="F50" s="31" t="s">
        <v>227</v>
      </c>
      <c r="G50" s="5" t="s">
        <v>257</v>
      </c>
      <c r="H50" s="5"/>
      <c r="I50" s="5" t="s">
        <v>67</v>
      </c>
      <c r="J50" s="5"/>
      <c r="K50" s="5"/>
    </row>
    <row r="51" customFormat="false" ht="15" hidden="false" customHeight="false" outlineLevel="0" collapsed="false">
      <c r="A51" s="5" t="n">
        <v>43</v>
      </c>
      <c r="B51" s="5"/>
      <c r="C51" s="5"/>
      <c r="D51" s="5"/>
      <c r="E51" s="5"/>
      <c r="F51" s="31" t="s">
        <v>227</v>
      </c>
      <c r="G51" s="5" t="s">
        <v>258</v>
      </c>
      <c r="H51" s="5"/>
      <c r="I51" s="5" t="s">
        <v>67</v>
      </c>
      <c r="J51" s="5"/>
      <c r="K51" s="5"/>
    </row>
    <row r="52" customFormat="false" ht="26.85" hidden="false" customHeight="false" outlineLevel="0" collapsed="false">
      <c r="A52" s="10" t="n">
        <v>44</v>
      </c>
      <c r="B52" s="29" t="n">
        <f aca="false">B47+D47/1440</f>
        <v>0.621527777777778</v>
      </c>
      <c r="C52" s="29" t="n">
        <f aca="false">B52+D52/1440</f>
        <v>0.631944444444444</v>
      </c>
      <c r="D52" s="30" t="n">
        <v>15</v>
      </c>
      <c r="E52" s="10" t="s">
        <v>259</v>
      </c>
      <c r="F52" s="10" t="s">
        <v>172</v>
      </c>
      <c r="G52" s="10" t="s">
        <v>260</v>
      </c>
      <c r="H52" s="10"/>
      <c r="I52" s="10"/>
      <c r="J52" s="10" t="s">
        <v>209</v>
      </c>
      <c r="K52" s="10"/>
    </row>
    <row r="53" customFormat="false" ht="15" hidden="false" customHeight="false" outlineLevel="0" collapsed="false">
      <c r="A53" s="5" t="n">
        <v>45</v>
      </c>
      <c r="B53" s="5"/>
      <c r="C53" s="5"/>
      <c r="D53" s="5"/>
      <c r="E53" s="5"/>
      <c r="F53" s="31" t="s">
        <v>227</v>
      </c>
      <c r="G53" s="5" t="s">
        <v>261</v>
      </c>
      <c r="H53" s="5"/>
      <c r="I53" s="5" t="s">
        <v>67</v>
      </c>
      <c r="J53" s="5"/>
      <c r="K53" s="5"/>
    </row>
    <row r="54" customFormat="false" ht="15" hidden="false" customHeight="false" outlineLevel="0" collapsed="false">
      <c r="A54" s="5" t="n">
        <v>46</v>
      </c>
      <c r="B54" s="5"/>
      <c r="C54" s="5"/>
      <c r="D54" s="5"/>
      <c r="E54" s="5"/>
      <c r="F54" s="31" t="s">
        <v>227</v>
      </c>
      <c r="G54" s="5" t="s">
        <v>262</v>
      </c>
      <c r="H54" s="5"/>
      <c r="I54" s="5" t="s">
        <v>67</v>
      </c>
      <c r="J54" s="5"/>
      <c r="K54" s="5"/>
    </row>
    <row r="55" customFormat="false" ht="15" hidden="false" customHeight="false" outlineLevel="0" collapsed="false">
      <c r="A55" s="5" t="n">
        <v>47</v>
      </c>
      <c r="B55" s="5"/>
      <c r="C55" s="5"/>
      <c r="D55" s="5"/>
      <c r="E55" s="5"/>
      <c r="F55" s="31" t="s">
        <v>227</v>
      </c>
      <c r="G55" s="5" t="s">
        <v>263</v>
      </c>
      <c r="H55" s="5"/>
      <c r="I55" s="5" t="s">
        <v>67</v>
      </c>
      <c r="J55" s="5"/>
      <c r="K55" s="5"/>
    </row>
    <row r="56" customFormat="false" ht="15" hidden="false" customHeight="false" outlineLevel="0" collapsed="false">
      <c r="A56" s="12" t="n">
        <v>48</v>
      </c>
      <c r="B56" s="12"/>
      <c r="C56" s="12"/>
      <c r="D56" s="12"/>
      <c r="E56" s="12"/>
      <c r="F56" s="32" t="s">
        <v>229</v>
      </c>
      <c r="G56" s="12" t="s">
        <v>264</v>
      </c>
      <c r="H56" s="12"/>
      <c r="I56" s="12" t="s">
        <v>71</v>
      </c>
      <c r="J56" s="12" t="s">
        <v>231</v>
      </c>
      <c r="K56" s="12"/>
    </row>
    <row r="57" customFormat="false" ht="15" hidden="false" customHeight="false" outlineLevel="0" collapsed="false">
      <c r="A57" s="5" t="n">
        <v>49</v>
      </c>
      <c r="B57" s="5"/>
      <c r="C57" s="5"/>
      <c r="D57" s="5"/>
      <c r="E57" s="5"/>
      <c r="F57" s="31" t="s">
        <v>227</v>
      </c>
      <c r="G57" s="5" t="s">
        <v>265</v>
      </c>
      <c r="H57" s="5"/>
      <c r="I57" s="5" t="s">
        <v>67</v>
      </c>
      <c r="J57" s="5"/>
      <c r="K57" s="5"/>
    </row>
    <row r="58" customFormat="false" ht="26.85" hidden="false" customHeight="false" outlineLevel="0" collapsed="false">
      <c r="A58" s="10" t="n">
        <v>50</v>
      </c>
      <c r="B58" s="29" t="n">
        <f aca="false">B52+D52/1440</f>
        <v>0.631944444444444</v>
      </c>
      <c r="C58" s="29" t="n">
        <f aca="false">B58+D58/1440</f>
        <v>0.645833333333333</v>
      </c>
      <c r="D58" s="30" t="n">
        <v>20</v>
      </c>
      <c r="E58" s="10" t="s">
        <v>266</v>
      </c>
      <c r="F58" s="10" t="s">
        <v>172</v>
      </c>
      <c r="G58" s="10" t="s">
        <v>267</v>
      </c>
      <c r="H58" s="10"/>
      <c r="I58" s="10"/>
      <c r="J58" s="10" t="s">
        <v>209</v>
      </c>
      <c r="K58" s="10"/>
    </row>
    <row r="59" customFormat="false" ht="26.85" hidden="false" customHeight="false" outlineLevel="0" collapsed="false">
      <c r="A59" s="5" t="n">
        <v>51</v>
      </c>
      <c r="B59" s="5"/>
      <c r="C59" s="5"/>
      <c r="D59" s="5"/>
      <c r="E59" s="5"/>
      <c r="F59" s="31" t="s">
        <v>227</v>
      </c>
      <c r="G59" s="5" t="s">
        <v>268</v>
      </c>
      <c r="H59" s="5"/>
      <c r="I59" s="5" t="s">
        <v>67</v>
      </c>
      <c r="J59" s="5"/>
      <c r="K59" s="5"/>
    </row>
    <row r="60" customFormat="false" ht="15" hidden="false" customHeight="false" outlineLevel="0" collapsed="false">
      <c r="A60" s="5" t="n">
        <v>52</v>
      </c>
      <c r="B60" s="5"/>
      <c r="C60" s="5"/>
      <c r="D60" s="5"/>
      <c r="E60" s="5"/>
      <c r="F60" s="31" t="s">
        <v>227</v>
      </c>
      <c r="G60" s="5" t="s">
        <v>269</v>
      </c>
      <c r="H60" s="5"/>
      <c r="I60" s="5" t="s">
        <v>67</v>
      </c>
      <c r="J60" s="5"/>
      <c r="K60" s="5"/>
    </row>
    <row r="61" customFormat="false" ht="15" hidden="false" customHeight="false" outlineLevel="0" collapsed="false">
      <c r="A61" s="5" t="n">
        <v>53</v>
      </c>
      <c r="B61" s="5"/>
      <c r="C61" s="5"/>
      <c r="D61" s="5"/>
      <c r="E61" s="5"/>
      <c r="F61" s="31" t="s">
        <v>227</v>
      </c>
      <c r="G61" s="5" t="s">
        <v>270</v>
      </c>
      <c r="H61" s="5"/>
      <c r="I61" s="5" t="s">
        <v>67</v>
      </c>
      <c r="J61" s="5"/>
      <c r="K61" s="5"/>
    </row>
    <row r="62" customFormat="false" ht="15" hidden="false" customHeight="false" outlineLevel="0" collapsed="false">
      <c r="A62" s="5" t="n">
        <v>54</v>
      </c>
      <c r="B62" s="5"/>
      <c r="C62" s="5"/>
      <c r="D62" s="5"/>
      <c r="E62" s="5"/>
      <c r="F62" s="31" t="s">
        <v>227</v>
      </c>
      <c r="G62" s="5" t="s">
        <v>271</v>
      </c>
      <c r="H62" s="5"/>
      <c r="I62" s="5" t="s">
        <v>67</v>
      </c>
      <c r="J62" s="5"/>
      <c r="K62" s="5"/>
    </row>
    <row r="63" customFormat="false" ht="15" hidden="false" customHeight="false" outlineLevel="0" collapsed="false">
      <c r="A63" s="5" t="n">
        <v>55</v>
      </c>
      <c r="B63" s="5"/>
      <c r="C63" s="5"/>
      <c r="D63" s="5"/>
      <c r="E63" s="5"/>
      <c r="F63" s="31" t="s">
        <v>227</v>
      </c>
      <c r="G63" s="5" t="s">
        <v>272</v>
      </c>
      <c r="H63" s="5"/>
      <c r="I63" s="5" t="s">
        <v>67</v>
      </c>
      <c r="J63" s="5"/>
      <c r="K63" s="5"/>
    </row>
    <row r="64" customFormat="false" ht="15" hidden="false" customHeight="false" outlineLevel="0" collapsed="false">
      <c r="A64" s="5" t="n">
        <v>56</v>
      </c>
      <c r="B64" s="5"/>
      <c r="C64" s="5"/>
      <c r="D64" s="5"/>
      <c r="E64" s="5"/>
      <c r="F64" s="31" t="s">
        <v>227</v>
      </c>
      <c r="G64" s="5" t="s">
        <v>273</v>
      </c>
      <c r="H64" s="5"/>
      <c r="I64" s="5" t="s">
        <v>67</v>
      </c>
      <c r="J64" s="5"/>
      <c r="K64" s="5"/>
    </row>
    <row r="65" customFormat="false" ht="15" hidden="false" customHeight="false" outlineLevel="0" collapsed="false">
      <c r="A65" s="12" t="n">
        <v>57</v>
      </c>
      <c r="B65" s="12"/>
      <c r="C65" s="12"/>
      <c r="D65" s="12"/>
      <c r="E65" s="12"/>
      <c r="F65" s="32" t="s">
        <v>229</v>
      </c>
      <c r="G65" s="12" t="s">
        <v>274</v>
      </c>
      <c r="H65" s="12"/>
      <c r="I65" s="12" t="s">
        <v>71</v>
      </c>
      <c r="J65" s="12" t="s">
        <v>231</v>
      </c>
      <c r="K65" s="12"/>
    </row>
    <row r="66" customFormat="false" ht="15" hidden="false" customHeight="false" outlineLevel="0" collapsed="false">
      <c r="A66" s="5" t="n">
        <v>58</v>
      </c>
      <c r="B66" s="5"/>
      <c r="C66" s="5"/>
      <c r="D66" s="5"/>
      <c r="E66" s="5"/>
      <c r="F66" s="31" t="s">
        <v>227</v>
      </c>
      <c r="G66" s="5" t="s">
        <v>275</v>
      </c>
      <c r="H66" s="5"/>
      <c r="I66" s="5" t="s">
        <v>67</v>
      </c>
      <c r="J66" s="5"/>
      <c r="K66" s="5"/>
    </row>
    <row r="67" customFormat="false" ht="26.85" hidden="false" customHeight="false" outlineLevel="0" collapsed="false">
      <c r="A67" s="10" t="n">
        <v>59</v>
      </c>
      <c r="B67" s="29" t="n">
        <f aca="false">B58+D58/1440</f>
        <v>0.645833333333333</v>
      </c>
      <c r="C67" s="29" t="n">
        <f aca="false">B67+D67/1440</f>
        <v>0.652777777777778</v>
      </c>
      <c r="D67" s="30" t="n">
        <v>10</v>
      </c>
      <c r="E67" s="10" t="s">
        <v>276</v>
      </c>
      <c r="F67" s="10" t="s">
        <v>172</v>
      </c>
      <c r="G67" s="10" t="s">
        <v>277</v>
      </c>
      <c r="H67" s="10"/>
      <c r="I67" s="10"/>
      <c r="J67" s="10" t="s">
        <v>209</v>
      </c>
      <c r="K67" s="10"/>
    </row>
    <row r="68" customFormat="false" ht="39.55" hidden="false" customHeight="false" outlineLevel="0" collapsed="false">
      <c r="A68" s="5" t="n">
        <v>60</v>
      </c>
      <c r="B68" s="5"/>
      <c r="C68" s="5"/>
      <c r="D68" s="5"/>
      <c r="E68" s="5"/>
      <c r="F68" s="31" t="s">
        <v>227</v>
      </c>
      <c r="G68" s="5" t="s">
        <v>278</v>
      </c>
      <c r="H68" s="5"/>
      <c r="I68" s="5" t="s">
        <v>67</v>
      </c>
      <c r="J68" s="5"/>
      <c r="K68" s="5"/>
    </row>
    <row r="69" customFormat="false" ht="15" hidden="false" customHeight="false" outlineLevel="0" collapsed="false">
      <c r="A69" s="12" t="n">
        <v>61</v>
      </c>
      <c r="B69" s="12"/>
      <c r="C69" s="12"/>
      <c r="D69" s="12"/>
      <c r="E69" s="12"/>
      <c r="F69" s="32" t="s">
        <v>229</v>
      </c>
      <c r="G69" s="12" t="s">
        <v>279</v>
      </c>
      <c r="H69" s="12"/>
      <c r="I69" s="12" t="s">
        <v>71</v>
      </c>
      <c r="J69" s="12" t="s">
        <v>231</v>
      </c>
      <c r="K69" s="12"/>
    </row>
    <row r="70" customFormat="false" ht="39.55" hidden="false" customHeight="false" outlineLevel="0" collapsed="false">
      <c r="A70" s="5" t="n">
        <v>62</v>
      </c>
      <c r="B70" s="5"/>
      <c r="C70" s="5"/>
      <c r="D70" s="5"/>
      <c r="E70" s="5"/>
      <c r="F70" s="31" t="s">
        <v>227</v>
      </c>
      <c r="G70" s="5" t="s">
        <v>280</v>
      </c>
      <c r="H70" s="5"/>
      <c r="I70" s="5" t="s">
        <v>67</v>
      </c>
      <c r="J70" s="5"/>
      <c r="K70" s="5"/>
    </row>
    <row r="71" customFormat="false" ht="15" hidden="false" customHeight="false" outlineLevel="0" collapsed="false">
      <c r="A71" s="12" t="n">
        <v>63</v>
      </c>
      <c r="B71" s="12"/>
      <c r="C71" s="12"/>
      <c r="D71" s="12"/>
      <c r="E71" s="12"/>
      <c r="F71" s="32" t="s">
        <v>229</v>
      </c>
      <c r="G71" s="12" t="s">
        <v>281</v>
      </c>
      <c r="H71" s="12"/>
      <c r="I71" s="12" t="s">
        <v>71</v>
      </c>
      <c r="J71" s="12" t="s">
        <v>231</v>
      </c>
      <c r="K71" s="12"/>
    </row>
    <row r="72" customFormat="false" ht="47.75" hidden="false" customHeight="false" outlineLevel="0" collapsed="false">
      <c r="A72" s="11" t="n">
        <v>64</v>
      </c>
      <c r="B72" s="11"/>
      <c r="C72" s="11"/>
      <c r="D72" s="11"/>
      <c r="E72" s="11"/>
      <c r="F72" s="33" t="s">
        <v>239</v>
      </c>
      <c r="G72" s="11" t="s">
        <v>282</v>
      </c>
      <c r="H72" s="11" t="s">
        <v>283</v>
      </c>
      <c r="I72" s="11" t="s">
        <v>75</v>
      </c>
      <c r="J72" s="11" t="s">
        <v>242</v>
      </c>
      <c r="K72" s="11"/>
    </row>
    <row r="73" customFormat="false" ht="15" hidden="false" customHeight="false" outlineLevel="0" collapsed="false">
      <c r="A73" s="5" t="n">
        <v>65</v>
      </c>
      <c r="B73" s="5"/>
      <c r="C73" s="5"/>
      <c r="D73" s="5"/>
      <c r="E73" s="5"/>
      <c r="F73" s="31" t="s">
        <v>227</v>
      </c>
      <c r="G73" s="5" t="s">
        <v>284</v>
      </c>
      <c r="H73" s="5"/>
      <c r="I73" s="5" t="s">
        <v>67</v>
      </c>
      <c r="J73" s="5"/>
      <c r="K73" s="5"/>
    </row>
    <row r="74" customFormat="false" ht="26.85" hidden="false" customHeight="false" outlineLevel="0" collapsed="false">
      <c r="A74" s="5" t="n">
        <v>66</v>
      </c>
      <c r="B74" s="5"/>
      <c r="C74" s="5"/>
      <c r="D74" s="5"/>
      <c r="E74" s="5"/>
      <c r="F74" s="31" t="s">
        <v>227</v>
      </c>
      <c r="G74" s="6" t="s">
        <v>285</v>
      </c>
      <c r="H74" s="5"/>
      <c r="I74" s="5" t="s">
        <v>67</v>
      </c>
      <c r="J74" s="5"/>
      <c r="K74" s="5"/>
    </row>
    <row r="75" customFormat="false" ht="15" hidden="false" customHeight="false" outlineLevel="0" collapsed="false">
      <c r="A75" s="5" t="n">
        <v>67</v>
      </c>
      <c r="B75" s="5"/>
      <c r="C75" s="5"/>
      <c r="D75" s="5"/>
      <c r="E75" s="5"/>
      <c r="F75" s="31" t="s">
        <v>227</v>
      </c>
      <c r="G75" s="5" t="s">
        <v>286</v>
      </c>
      <c r="H75" s="5"/>
      <c r="I75" s="5" t="s">
        <v>67</v>
      </c>
      <c r="J75" s="5"/>
      <c r="K75" s="5"/>
    </row>
    <row r="76" customFormat="false" ht="26.85" hidden="false" customHeight="false" outlineLevel="0" collapsed="false">
      <c r="A76" s="5" t="n">
        <v>68</v>
      </c>
      <c r="B76" s="5"/>
      <c r="C76" s="5"/>
      <c r="D76" s="5"/>
      <c r="E76" s="5"/>
      <c r="F76" s="31" t="s">
        <v>227</v>
      </c>
      <c r="G76" s="6" t="s">
        <v>287</v>
      </c>
      <c r="H76" s="5"/>
      <c r="I76" s="5" t="s">
        <v>67</v>
      </c>
      <c r="J76" s="5"/>
      <c r="K76" s="5"/>
    </row>
    <row r="77" customFormat="false" ht="26.85" hidden="false" customHeight="false" outlineLevel="0" collapsed="false">
      <c r="A77" s="10" t="n">
        <v>69</v>
      </c>
      <c r="B77" s="29" t="n">
        <f aca="false">B67+D67/1440</f>
        <v>0.652777777777778</v>
      </c>
      <c r="C77" s="29" t="n">
        <f aca="false">B77+D77/1440</f>
        <v>0.659722222222222</v>
      </c>
      <c r="D77" s="30" t="n">
        <v>10</v>
      </c>
      <c r="E77" s="10" t="s">
        <v>288</v>
      </c>
      <c r="F77" s="10" t="s">
        <v>172</v>
      </c>
      <c r="G77" s="10" t="s">
        <v>289</v>
      </c>
      <c r="H77" s="10"/>
      <c r="I77" s="10"/>
      <c r="J77" s="10" t="s">
        <v>209</v>
      </c>
      <c r="K77" s="10"/>
    </row>
    <row r="78" customFormat="false" ht="15" hidden="false" customHeight="false" outlineLevel="0" collapsed="false">
      <c r="A78" s="5" t="n">
        <v>70</v>
      </c>
      <c r="B78" s="5"/>
      <c r="C78" s="5"/>
      <c r="D78" s="5"/>
      <c r="E78" s="5"/>
      <c r="F78" s="31" t="s">
        <v>227</v>
      </c>
      <c r="G78" s="5" t="s">
        <v>290</v>
      </c>
      <c r="H78" s="5"/>
      <c r="I78" s="5" t="s">
        <v>67</v>
      </c>
      <c r="J78" s="5"/>
      <c r="K78" s="5"/>
    </row>
    <row r="79" customFormat="false" ht="15" hidden="false" customHeight="false" outlineLevel="0" collapsed="false">
      <c r="A79" s="12" t="n">
        <v>71</v>
      </c>
      <c r="B79" s="12"/>
      <c r="C79" s="12"/>
      <c r="D79" s="12"/>
      <c r="E79" s="12"/>
      <c r="F79" s="32" t="s">
        <v>229</v>
      </c>
      <c r="G79" s="12" t="s">
        <v>291</v>
      </c>
      <c r="H79" s="12"/>
      <c r="I79" s="12" t="s">
        <v>71</v>
      </c>
      <c r="J79" s="12" t="s">
        <v>231</v>
      </c>
      <c r="K79" s="12"/>
    </row>
    <row r="80" customFormat="false" ht="26.85" hidden="false" customHeight="false" outlineLevel="0" collapsed="false">
      <c r="A80" s="5" t="n">
        <v>72</v>
      </c>
      <c r="B80" s="5"/>
      <c r="C80" s="5"/>
      <c r="D80" s="5"/>
      <c r="E80" s="5"/>
      <c r="F80" s="31" t="s">
        <v>227</v>
      </c>
      <c r="G80" s="5" t="s">
        <v>292</v>
      </c>
      <c r="H80" s="5"/>
      <c r="I80" s="5" t="s">
        <v>67</v>
      </c>
      <c r="J80" s="5"/>
      <c r="K80" s="5"/>
    </row>
    <row r="81" customFormat="false" ht="15" hidden="false" customHeight="false" outlineLevel="0" collapsed="false">
      <c r="A81" s="12" t="n">
        <v>73</v>
      </c>
      <c r="B81" s="12"/>
      <c r="C81" s="12"/>
      <c r="D81" s="12"/>
      <c r="E81" s="12"/>
      <c r="F81" s="32" t="s">
        <v>229</v>
      </c>
      <c r="G81" s="12" t="s">
        <v>293</v>
      </c>
      <c r="H81" s="12"/>
      <c r="I81" s="12" t="s">
        <v>71</v>
      </c>
      <c r="J81" s="12" t="s">
        <v>231</v>
      </c>
      <c r="K81" s="12"/>
    </row>
    <row r="82" customFormat="false" ht="26.85" hidden="false" customHeight="false" outlineLevel="0" collapsed="false">
      <c r="A82" s="5" t="n">
        <v>74</v>
      </c>
      <c r="B82" s="5"/>
      <c r="C82" s="5"/>
      <c r="D82" s="5"/>
      <c r="E82" s="5"/>
      <c r="F82" s="31" t="s">
        <v>227</v>
      </c>
      <c r="G82" s="5" t="s">
        <v>294</v>
      </c>
      <c r="H82" s="5"/>
      <c r="I82" s="5" t="s">
        <v>67</v>
      </c>
      <c r="J82" s="5"/>
      <c r="K82" s="5"/>
    </row>
    <row r="83" customFormat="false" ht="15" hidden="false" customHeight="false" outlineLevel="0" collapsed="false">
      <c r="A83" s="12" t="n">
        <v>75</v>
      </c>
      <c r="B83" s="12"/>
      <c r="C83" s="12"/>
      <c r="D83" s="12"/>
      <c r="E83" s="12"/>
      <c r="F83" s="32" t="s">
        <v>229</v>
      </c>
      <c r="G83" s="12" t="s">
        <v>295</v>
      </c>
      <c r="H83" s="12"/>
      <c r="I83" s="12" t="s">
        <v>71</v>
      </c>
      <c r="J83" s="12" t="s">
        <v>231</v>
      </c>
      <c r="K83" s="12"/>
    </row>
    <row r="84" customFormat="false" ht="15" hidden="false" customHeight="false" outlineLevel="0" collapsed="false">
      <c r="A84" s="5" t="n">
        <v>76</v>
      </c>
      <c r="B84" s="5"/>
      <c r="C84" s="5"/>
      <c r="D84" s="5"/>
      <c r="E84" s="5"/>
      <c r="F84" s="31" t="s">
        <v>227</v>
      </c>
      <c r="G84" s="6" t="s">
        <v>296</v>
      </c>
      <c r="H84" s="5"/>
      <c r="I84" s="5" t="s">
        <v>67</v>
      </c>
      <c r="J84" s="5"/>
      <c r="K84" s="5"/>
    </row>
    <row r="85" customFormat="false" ht="26.85" hidden="false" customHeight="false" outlineLevel="0" collapsed="false">
      <c r="A85" s="5" t="n">
        <v>77</v>
      </c>
      <c r="B85" s="5"/>
      <c r="C85" s="5"/>
      <c r="D85" s="5"/>
      <c r="E85" s="5"/>
      <c r="F85" s="31" t="s">
        <v>227</v>
      </c>
      <c r="G85" s="5" t="s">
        <v>297</v>
      </c>
      <c r="H85" s="5"/>
      <c r="I85" s="5" t="s">
        <v>67</v>
      </c>
      <c r="J85" s="5"/>
      <c r="K85" s="5"/>
    </row>
    <row r="86" customFormat="false" ht="15" hidden="false" customHeight="false" outlineLevel="0" collapsed="false">
      <c r="A86" s="12" t="n">
        <v>78</v>
      </c>
      <c r="B86" s="12"/>
      <c r="C86" s="12"/>
      <c r="D86" s="12"/>
      <c r="E86" s="12"/>
      <c r="F86" s="32" t="s">
        <v>229</v>
      </c>
      <c r="G86" s="12" t="s">
        <v>298</v>
      </c>
      <c r="H86" s="12"/>
      <c r="I86" s="12" t="s">
        <v>71</v>
      </c>
      <c r="J86" s="12" t="s">
        <v>231</v>
      </c>
      <c r="K86" s="12"/>
    </row>
    <row r="87" customFormat="false" ht="26.85" hidden="false" customHeight="false" outlineLevel="0" collapsed="false">
      <c r="A87" s="10" t="n">
        <v>79</v>
      </c>
      <c r="B87" s="29" t="n">
        <f aca="false">B77+D77/1440</f>
        <v>0.659722222222222</v>
      </c>
      <c r="C87" s="29" t="n">
        <f aca="false">B87+D87/1440</f>
        <v>0.666666666666667</v>
      </c>
      <c r="D87" s="30" t="n">
        <v>10</v>
      </c>
      <c r="E87" s="10" t="s">
        <v>299</v>
      </c>
      <c r="F87" s="10" t="s">
        <v>172</v>
      </c>
      <c r="G87" s="10" t="s">
        <v>300</v>
      </c>
      <c r="H87" s="10"/>
      <c r="I87" s="10"/>
      <c r="J87" s="10" t="s">
        <v>209</v>
      </c>
      <c r="K87" s="10"/>
    </row>
    <row r="88" customFormat="false" ht="15" hidden="false" customHeight="false" outlineLevel="0" collapsed="false">
      <c r="A88" s="5" t="n">
        <v>80</v>
      </c>
      <c r="B88" s="5"/>
      <c r="C88" s="5"/>
      <c r="D88" s="5"/>
      <c r="E88" s="5"/>
      <c r="F88" s="31" t="s">
        <v>227</v>
      </c>
      <c r="G88" s="5" t="s">
        <v>301</v>
      </c>
      <c r="H88" s="5"/>
      <c r="I88" s="5" t="s">
        <v>67</v>
      </c>
      <c r="J88" s="5"/>
      <c r="K88" s="5"/>
    </row>
    <row r="89" customFormat="false" ht="26.85" hidden="false" customHeight="false" outlineLevel="0" collapsed="false">
      <c r="A89" s="5" t="n">
        <v>81</v>
      </c>
      <c r="B89" s="5"/>
      <c r="C89" s="5"/>
      <c r="D89" s="5"/>
      <c r="E89" s="5"/>
      <c r="F89" s="31" t="s">
        <v>210</v>
      </c>
      <c r="G89" s="6" t="s">
        <v>302</v>
      </c>
      <c r="H89" s="5" t="s">
        <v>303</v>
      </c>
      <c r="I89" s="5" t="s">
        <v>67</v>
      </c>
      <c r="J89" s="5"/>
      <c r="K89" s="5"/>
    </row>
    <row r="90" customFormat="false" ht="15" hidden="false" customHeight="false" outlineLevel="0" collapsed="false">
      <c r="A90" s="5" t="n">
        <v>82</v>
      </c>
      <c r="B90" s="5"/>
      <c r="C90" s="5"/>
      <c r="D90" s="5"/>
      <c r="E90" s="5"/>
      <c r="F90" s="31" t="s">
        <v>210</v>
      </c>
      <c r="G90" s="5" t="s">
        <v>304</v>
      </c>
      <c r="H90" s="5" t="s">
        <v>305</v>
      </c>
      <c r="I90" s="5" t="s">
        <v>67</v>
      </c>
      <c r="J90" s="5"/>
      <c r="K90" s="5"/>
    </row>
    <row r="91" customFormat="false" ht="26.85" hidden="false" customHeight="false" outlineLevel="0" collapsed="false">
      <c r="A91" s="14" t="n">
        <v>83</v>
      </c>
      <c r="B91" s="35" t="n">
        <f aca="false">C87</f>
        <v>0.666666666666667</v>
      </c>
      <c r="C91" s="14"/>
      <c r="D91" s="36" t="s">
        <v>170</v>
      </c>
      <c r="E91" s="14" t="s">
        <v>306</v>
      </c>
      <c r="F91" s="14" t="s">
        <v>170</v>
      </c>
      <c r="G91" s="14" t="s">
        <v>307</v>
      </c>
      <c r="H91" s="14"/>
      <c r="I91" s="14" t="s">
        <v>206</v>
      </c>
      <c r="J91" s="14"/>
      <c r="K91" s="14"/>
    </row>
    <row r="92" customFormat="false" ht="26.85" hidden="false" customHeight="false" outlineLevel="0" collapsed="false">
      <c r="A92" s="14" t="n">
        <v>84</v>
      </c>
      <c r="B92" s="35" t="n">
        <f aca="false">C87+5/1440</f>
        <v>0.670138888888889</v>
      </c>
      <c r="C92" s="14"/>
      <c r="D92" s="36" t="s">
        <v>308</v>
      </c>
      <c r="E92" s="14" t="s">
        <v>306</v>
      </c>
      <c r="F92" s="14" t="s">
        <v>309</v>
      </c>
      <c r="G92" s="37" t="s">
        <v>310</v>
      </c>
      <c r="H92" s="14"/>
      <c r="I92" s="37" t="s">
        <v>311</v>
      </c>
      <c r="J92" s="14"/>
      <c r="K92" s="14"/>
    </row>
    <row r="93" customFormat="false" ht="26.85" hidden="false" customHeight="false" outlineLevel="0" collapsed="false">
      <c r="A93" s="14" t="n">
        <v>85</v>
      </c>
      <c r="B93" s="35" t="n">
        <f aca="false">C87+30/1440</f>
        <v>0.6875</v>
      </c>
      <c r="C93" s="14"/>
      <c r="D93" s="36" t="s">
        <v>312</v>
      </c>
      <c r="E93" s="14" t="s">
        <v>306</v>
      </c>
      <c r="F93" s="14" t="s">
        <v>313</v>
      </c>
      <c r="G93" s="14" t="s">
        <v>314</v>
      </c>
      <c r="H93" s="14"/>
      <c r="I93" s="14" t="s">
        <v>315</v>
      </c>
      <c r="J93" s="14"/>
      <c r="K93" s="14"/>
    </row>
    <row r="95" customFormat="false" ht="15" hidden="false" customHeight="false" outlineLevel="0" collapsed="false">
      <c r="E95" s="23" t="s">
        <v>316</v>
      </c>
      <c r="F95" s="23" t="n">
        <f aca="false">SUMIF(F9:F93,"파트",D9:D93)</f>
        <v>120</v>
      </c>
      <c r="G95" s="23" t="str">
        <f aca="false">IF(F95=120,"OK — 120분","확인 필요: 파트 합이 120분이 아님")</f>
        <v>OK — 120분</v>
      </c>
    </row>
    <row r="96" customFormat="false" ht="15" hidden="false" customHeight="false" outlineLevel="0" collapsed="false">
      <c r="E96" s="23" t="s">
        <v>317</v>
      </c>
      <c r="F96" s="38" t="n">
        <f aca="false">C87</f>
        <v>0.666666666666667</v>
      </c>
    </row>
    <row r="98" customFormat="false" ht="15" hidden="false" customHeight="false" outlineLevel="0" collapsed="false">
      <c r="A98" s="2" t="s">
        <v>318</v>
      </c>
    </row>
    <row r="99" customFormat="false" ht="15" hidden="false" customHeight="false" outlineLevel="0" collapsed="false">
      <c r="A99" s="2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7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22"/>
  </cols>
  <sheetData>
    <row r="1" customFormat="false" ht="19.4" hidden="false" customHeight="false" outlineLevel="0" collapsed="false">
      <c r="A1" s="1" t="s">
        <v>320</v>
      </c>
    </row>
    <row r="2" customFormat="false" ht="15" hidden="false" customHeight="false" outlineLevel="0" collapsed="false">
      <c r="A2" s="21" t="s">
        <v>321</v>
      </c>
    </row>
    <row r="3" customFormat="false" ht="15" hidden="false" customHeight="false" outlineLevel="0" collapsed="false">
      <c r="A3" s="22" t="s">
        <v>322</v>
      </c>
    </row>
    <row r="4" customFormat="false" ht="15" hidden="false" customHeight="false" outlineLevel="0" collapsed="false">
      <c r="A4" s="23" t="s">
        <v>161</v>
      </c>
      <c r="C4" s="24" t="s">
        <v>162</v>
      </c>
      <c r="D4" s="2" t="s">
        <v>163</v>
      </c>
    </row>
    <row r="5" customFormat="false" ht="15" hidden="false" customHeight="false" outlineLevel="0" collapsed="false">
      <c r="A5" s="23" t="s">
        <v>164</v>
      </c>
      <c r="C5" s="22" t="s">
        <v>323</v>
      </c>
    </row>
    <row r="6" customFormat="false" ht="15" hidden="false" customHeight="false" outlineLevel="0" collapsed="false">
      <c r="A6" s="23" t="s">
        <v>166</v>
      </c>
      <c r="C6" s="22" t="s">
        <v>324</v>
      </c>
    </row>
    <row r="8" customFormat="false" ht="15" hidden="false" customHeight="false" outlineLevel="0" collapsed="false">
      <c r="A8" s="25" t="s">
        <v>168</v>
      </c>
      <c r="B8" s="4" t="s">
        <v>169</v>
      </c>
      <c r="C8" s="4" t="s">
        <v>170</v>
      </c>
      <c r="D8" s="4" t="s">
        <v>171</v>
      </c>
      <c r="E8" s="4" t="s">
        <v>172</v>
      </c>
      <c r="F8" s="4" t="s">
        <v>173</v>
      </c>
      <c r="G8" s="4" t="s">
        <v>174</v>
      </c>
      <c r="H8" s="4" t="s">
        <v>175</v>
      </c>
      <c r="I8" s="4" t="s">
        <v>122</v>
      </c>
      <c r="J8" s="4" t="s">
        <v>176</v>
      </c>
      <c r="K8" s="4" t="s">
        <v>177</v>
      </c>
    </row>
    <row r="9" customFormat="false" ht="15" hidden="false" customHeight="false" outlineLevel="0" collapsed="false">
      <c r="A9" s="9" t="n">
        <v>1</v>
      </c>
      <c r="B9" s="26" t="n">
        <f aca="false">$C$4-180/1440</f>
        <v>0.458333333333333</v>
      </c>
      <c r="C9" s="9"/>
      <c r="D9" s="27" t="s">
        <v>178</v>
      </c>
      <c r="E9" s="9" t="s">
        <v>179</v>
      </c>
      <c r="F9" s="9" t="s">
        <v>180</v>
      </c>
      <c r="G9" s="9" t="s">
        <v>181</v>
      </c>
      <c r="H9" s="9"/>
      <c r="I9" s="9" t="s">
        <v>128</v>
      </c>
      <c r="J9" s="9"/>
      <c r="K9" s="9"/>
    </row>
    <row r="10" customFormat="false" ht="15" hidden="false" customHeight="false" outlineLevel="0" collapsed="false">
      <c r="A10" s="9" t="n">
        <v>2</v>
      </c>
      <c r="B10" s="26" t="n">
        <f aca="false">$C$4-90/1440</f>
        <v>0.520833333333333</v>
      </c>
      <c r="C10" s="9"/>
      <c r="D10" s="27" t="s">
        <v>182</v>
      </c>
      <c r="E10" s="9" t="s">
        <v>179</v>
      </c>
      <c r="F10" s="9" t="s">
        <v>183</v>
      </c>
      <c r="G10" s="9" t="s">
        <v>184</v>
      </c>
      <c r="H10" s="9"/>
      <c r="I10" s="9" t="s">
        <v>185</v>
      </c>
      <c r="J10" s="9"/>
      <c r="K10" s="9"/>
    </row>
    <row r="11" customFormat="false" ht="15" hidden="false" customHeight="false" outlineLevel="0" collapsed="false">
      <c r="A11" s="9" t="n">
        <v>3</v>
      </c>
      <c r="B11" s="26" t="n">
        <f aca="false">$C$4-80/1440</f>
        <v>0.527777777777778</v>
      </c>
      <c r="C11" s="9"/>
      <c r="D11" s="27" t="s">
        <v>186</v>
      </c>
      <c r="E11" s="9" t="s">
        <v>179</v>
      </c>
      <c r="F11" s="9" t="s">
        <v>187</v>
      </c>
      <c r="G11" s="9" t="s">
        <v>188</v>
      </c>
      <c r="H11" s="9"/>
      <c r="I11" s="28" t="s">
        <v>130</v>
      </c>
      <c r="J11" s="9"/>
      <c r="K11" s="9"/>
    </row>
    <row r="12" customFormat="false" ht="26.85" hidden="false" customHeight="false" outlineLevel="0" collapsed="false">
      <c r="A12" s="9" t="n">
        <v>4</v>
      </c>
      <c r="B12" s="26" t="n">
        <f aca="false">$C$4-60/1440</f>
        <v>0.541666666666667</v>
      </c>
      <c r="C12" s="9"/>
      <c r="D12" s="27" t="s">
        <v>189</v>
      </c>
      <c r="E12" s="9" t="s">
        <v>179</v>
      </c>
      <c r="F12" s="9" t="s">
        <v>190</v>
      </c>
      <c r="G12" s="9" t="s">
        <v>191</v>
      </c>
      <c r="H12" s="9"/>
      <c r="I12" s="9" t="s">
        <v>128</v>
      </c>
      <c r="J12" s="9"/>
      <c r="K12" s="9"/>
    </row>
    <row r="13" customFormat="false" ht="26.85" hidden="false" customHeight="false" outlineLevel="0" collapsed="false">
      <c r="A13" s="9" t="n">
        <v>5</v>
      </c>
      <c r="B13" s="26" t="n">
        <f aca="false">$C$4-45/1440</f>
        <v>0.552083333333333</v>
      </c>
      <c r="C13" s="9"/>
      <c r="D13" s="27" t="s">
        <v>192</v>
      </c>
      <c r="E13" s="9" t="s">
        <v>179</v>
      </c>
      <c r="F13" s="9" t="s">
        <v>75</v>
      </c>
      <c r="G13" s="9" t="s">
        <v>193</v>
      </c>
      <c r="H13" s="9"/>
      <c r="I13" s="9" t="s">
        <v>75</v>
      </c>
      <c r="J13" s="9"/>
      <c r="K13" s="9"/>
    </row>
    <row r="14" customFormat="false" ht="26.85" hidden="false" customHeight="false" outlineLevel="0" collapsed="false">
      <c r="A14" s="9" t="n">
        <v>6</v>
      </c>
      <c r="B14" s="26" t="n">
        <f aca="false">$C$4-30/1440</f>
        <v>0.5625</v>
      </c>
      <c r="C14" s="9"/>
      <c r="D14" s="27" t="s">
        <v>194</v>
      </c>
      <c r="E14" s="9" t="s">
        <v>179</v>
      </c>
      <c r="F14" s="9" t="s">
        <v>195</v>
      </c>
      <c r="G14" s="9" t="s">
        <v>196</v>
      </c>
      <c r="H14" s="9"/>
      <c r="I14" s="9" t="s">
        <v>75</v>
      </c>
      <c r="J14" s="9"/>
      <c r="K14" s="9"/>
    </row>
    <row r="15" customFormat="false" ht="26.85" hidden="false" customHeight="false" outlineLevel="0" collapsed="false">
      <c r="A15" s="9" t="n">
        <v>7</v>
      </c>
      <c r="B15" s="26" t="n">
        <f aca="false">$C$4-20/1440</f>
        <v>0.569444444444445</v>
      </c>
      <c r="C15" s="9"/>
      <c r="D15" s="27" t="s">
        <v>197</v>
      </c>
      <c r="E15" s="9" t="s">
        <v>179</v>
      </c>
      <c r="F15" s="9" t="s">
        <v>198</v>
      </c>
      <c r="G15" s="9" t="s">
        <v>199</v>
      </c>
      <c r="H15" s="9"/>
      <c r="I15" s="28" t="s">
        <v>200</v>
      </c>
      <c r="J15" s="9"/>
      <c r="K15" s="9"/>
    </row>
    <row r="16" customFormat="false" ht="26.85" hidden="false" customHeight="false" outlineLevel="0" collapsed="false">
      <c r="A16" s="9" t="n">
        <v>8</v>
      </c>
      <c r="B16" s="26" t="n">
        <f aca="false">$C$4-10/1440</f>
        <v>0.576388888888889</v>
      </c>
      <c r="C16" s="9"/>
      <c r="D16" s="27" t="s">
        <v>201</v>
      </c>
      <c r="E16" s="9" t="s">
        <v>179</v>
      </c>
      <c r="F16" s="9" t="s">
        <v>202</v>
      </c>
      <c r="G16" s="9" t="s">
        <v>203</v>
      </c>
      <c r="H16" s="9"/>
      <c r="I16" s="9" t="s">
        <v>128</v>
      </c>
      <c r="J16" s="9"/>
      <c r="K16" s="9"/>
    </row>
    <row r="17" customFormat="false" ht="15" hidden="false" customHeight="false" outlineLevel="0" collapsed="false">
      <c r="A17" s="9" t="n">
        <v>9</v>
      </c>
      <c r="B17" s="26" t="str">
        <f aca="false">$C$4</f>
        <v>14:00</v>
      </c>
      <c r="C17" s="9"/>
      <c r="D17" s="27" t="s">
        <v>204</v>
      </c>
      <c r="E17" s="9" t="s">
        <v>179</v>
      </c>
      <c r="F17" s="9" t="s">
        <v>169</v>
      </c>
      <c r="G17" s="9" t="s">
        <v>205</v>
      </c>
      <c r="H17" s="9"/>
      <c r="I17" s="9" t="s">
        <v>206</v>
      </c>
      <c r="J17" s="9"/>
      <c r="K17" s="9"/>
    </row>
    <row r="18" customFormat="false" ht="26.85" hidden="false" customHeight="false" outlineLevel="0" collapsed="false">
      <c r="A18" s="10" t="n">
        <v>10</v>
      </c>
      <c r="B18" s="29" t="str">
        <f aca="false">$C$4</f>
        <v>14:00</v>
      </c>
      <c r="C18" s="29" t="n">
        <f aca="false">B18+D18/1440</f>
        <v>0.590277777777778</v>
      </c>
      <c r="D18" s="30" t="n">
        <v>10</v>
      </c>
      <c r="E18" s="10" t="s">
        <v>207</v>
      </c>
      <c r="F18" s="10" t="s">
        <v>172</v>
      </c>
      <c r="G18" s="10" t="s">
        <v>208</v>
      </c>
      <c r="H18" s="10"/>
      <c r="I18" s="10"/>
      <c r="J18" s="10" t="s">
        <v>209</v>
      </c>
      <c r="K18" s="10"/>
    </row>
    <row r="19" customFormat="false" ht="26.85" hidden="false" customHeight="false" outlineLevel="0" collapsed="false">
      <c r="A19" s="5" t="n">
        <v>11</v>
      </c>
      <c r="B19" s="5"/>
      <c r="C19" s="5"/>
      <c r="D19" s="5"/>
      <c r="E19" s="5"/>
      <c r="F19" s="31" t="s">
        <v>210</v>
      </c>
      <c r="G19" s="5" t="s">
        <v>211</v>
      </c>
      <c r="H19" s="5"/>
      <c r="I19" s="5" t="s">
        <v>67</v>
      </c>
      <c r="J19" s="5"/>
      <c r="K19" s="5"/>
    </row>
    <row r="20" customFormat="false" ht="26.85" hidden="false" customHeight="false" outlineLevel="0" collapsed="false">
      <c r="A20" s="5" t="n">
        <v>12</v>
      </c>
      <c r="B20" s="5"/>
      <c r="C20" s="5"/>
      <c r="D20" s="5"/>
      <c r="E20" s="5"/>
      <c r="F20" s="31" t="s">
        <v>212</v>
      </c>
      <c r="G20" s="5" t="s">
        <v>213</v>
      </c>
      <c r="H20" s="5"/>
      <c r="I20" s="5" t="s">
        <v>67</v>
      </c>
      <c r="J20" s="5"/>
      <c r="K20" s="5"/>
    </row>
    <row r="21" customFormat="false" ht="15" hidden="false" customHeight="false" outlineLevel="0" collapsed="false">
      <c r="A21" s="5" t="n">
        <v>13</v>
      </c>
      <c r="B21" s="5"/>
      <c r="C21" s="5"/>
      <c r="D21" s="5"/>
      <c r="E21" s="5"/>
      <c r="F21" s="31" t="s">
        <v>212</v>
      </c>
      <c r="G21" s="5" t="s">
        <v>214</v>
      </c>
      <c r="H21" s="5"/>
      <c r="I21" s="5" t="s">
        <v>67</v>
      </c>
      <c r="J21" s="5"/>
      <c r="K21" s="5"/>
    </row>
    <row r="22" customFormat="false" ht="15" hidden="false" customHeight="false" outlineLevel="0" collapsed="false">
      <c r="A22" s="5" t="n">
        <v>14</v>
      </c>
      <c r="B22" s="5"/>
      <c r="C22" s="5"/>
      <c r="D22" s="5"/>
      <c r="E22" s="5"/>
      <c r="F22" s="31" t="s">
        <v>123</v>
      </c>
      <c r="G22" s="5" t="s">
        <v>215</v>
      </c>
      <c r="H22" s="5" t="s">
        <v>216</v>
      </c>
      <c r="I22" s="5" t="s">
        <v>67</v>
      </c>
      <c r="J22" s="5" t="s">
        <v>217</v>
      </c>
      <c r="K22" s="5"/>
    </row>
    <row r="23" customFormat="false" ht="15" hidden="false" customHeight="false" outlineLevel="0" collapsed="false">
      <c r="A23" s="5" t="n">
        <v>15</v>
      </c>
      <c r="B23" s="5"/>
      <c r="C23" s="5"/>
      <c r="D23" s="5"/>
      <c r="E23" s="5"/>
      <c r="F23" s="31" t="s">
        <v>123</v>
      </c>
      <c r="G23" s="5" t="s">
        <v>218</v>
      </c>
      <c r="H23" s="5" t="s">
        <v>219</v>
      </c>
      <c r="I23" s="5" t="s">
        <v>128</v>
      </c>
      <c r="J23" s="5" t="s">
        <v>217</v>
      </c>
      <c r="K23" s="5"/>
    </row>
    <row r="24" customFormat="false" ht="15" hidden="false" customHeight="false" outlineLevel="0" collapsed="false">
      <c r="A24" s="5" t="n">
        <v>16</v>
      </c>
      <c r="B24" s="5"/>
      <c r="C24" s="5"/>
      <c r="D24" s="5"/>
      <c r="E24" s="5"/>
      <c r="F24" s="31" t="s">
        <v>210</v>
      </c>
      <c r="G24" s="5" t="s">
        <v>220</v>
      </c>
      <c r="H24" s="5"/>
      <c r="I24" s="5" t="s">
        <v>67</v>
      </c>
      <c r="J24" s="5"/>
      <c r="K24" s="5"/>
    </row>
    <row r="25" customFormat="false" ht="26.85" hidden="false" customHeight="false" outlineLevel="0" collapsed="false">
      <c r="A25" s="5" t="n">
        <v>17</v>
      </c>
      <c r="B25" s="5"/>
      <c r="C25" s="5"/>
      <c r="D25" s="5"/>
      <c r="E25" s="5"/>
      <c r="F25" s="31" t="s">
        <v>210</v>
      </c>
      <c r="G25" s="5" t="s">
        <v>221</v>
      </c>
      <c r="H25" s="5"/>
      <c r="I25" s="5" t="s">
        <v>67</v>
      </c>
      <c r="J25" s="5"/>
      <c r="K25" s="5"/>
    </row>
    <row r="26" customFormat="false" ht="26.85" hidden="false" customHeight="false" outlineLevel="0" collapsed="false">
      <c r="A26" s="5" t="n">
        <v>18</v>
      </c>
      <c r="B26" s="5"/>
      <c r="C26" s="5"/>
      <c r="D26" s="5"/>
      <c r="E26" s="5"/>
      <c r="F26" s="31" t="s">
        <v>210</v>
      </c>
      <c r="G26" s="5" t="s">
        <v>222</v>
      </c>
      <c r="H26" s="5"/>
      <c r="I26" s="5" t="s">
        <v>67</v>
      </c>
      <c r="J26" s="5"/>
      <c r="K26" s="5"/>
    </row>
    <row r="27" customFormat="false" ht="15" hidden="false" customHeight="false" outlineLevel="0" collapsed="false">
      <c r="A27" s="5" t="n">
        <v>19</v>
      </c>
      <c r="B27" s="5"/>
      <c r="C27" s="5"/>
      <c r="D27" s="5"/>
      <c r="E27" s="5"/>
      <c r="F27" s="31" t="s">
        <v>212</v>
      </c>
      <c r="G27" s="5" t="s">
        <v>223</v>
      </c>
      <c r="H27" s="5"/>
      <c r="I27" s="5" t="s">
        <v>67</v>
      </c>
      <c r="J27" s="5"/>
      <c r="K27" s="5"/>
    </row>
    <row r="28" customFormat="false" ht="52.2" hidden="false" customHeight="false" outlineLevel="0" collapsed="false">
      <c r="A28" s="5" t="n">
        <v>20</v>
      </c>
      <c r="B28" s="5"/>
      <c r="C28" s="5"/>
      <c r="D28" s="5"/>
      <c r="E28" s="5"/>
      <c r="F28" s="31" t="s">
        <v>210</v>
      </c>
      <c r="G28" s="5" t="s">
        <v>224</v>
      </c>
      <c r="H28" s="5"/>
      <c r="I28" s="5" t="s">
        <v>67</v>
      </c>
      <c r="J28" s="5"/>
      <c r="K28" s="5"/>
    </row>
    <row r="29" customFormat="false" ht="39.55" hidden="false" customHeight="false" outlineLevel="0" collapsed="false">
      <c r="A29" s="11" t="n">
        <v>21</v>
      </c>
      <c r="B29" s="11"/>
      <c r="C29" s="11"/>
      <c r="D29" s="11"/>
      <c r="E29" s="11"/>
      <c r="F29" s="33" t="s">
        <v>239</v>
      </c>
      <c r="G29" s="11" t="s">
        <v>325</v>
      </c>
      <c r="H29" s="11" t="s">
        <v>326</v>
      </c>
      <c r="I29" s="11" t="s">
        <v>67</v>
      </c>
      <c r="J29" s="11" t="s">
        <v>242</v>
      </c>
      <c r="K29" s="11"/>
    </row>
    <row r="30" customFormat="false" ht="15" hidden="false" customHeight="false" outlineLevel="0" collapsed="false">
      <c r="A30" s="13" t="n">
        <v>22</v>
      </c>
      <c r="B30" s="13"/>
      <c r="C30" s="13"/>
      <c r="D30" s="13"/>
      <c r="E30" s="13"/>
      <c r="F30" s="39" t="s">
        <v>327</v>
      </c>
      <c r="G30" s="13" t="s">
        <v>328</v>
      </c>
      <c r="H30" s="13" t="s">
        <v>329</v>
      </c>
      <c r="I30" s="13" t="s">
        <v>128</v>
      </c>
      <c r="J30" s="13" t="s">
        <v>330</v>
      </c>
      <c r="K30" s="13"/>
    </row>
    <row r="31" customFormat="false" ht="26.85" hidden="false" customHeight="false" outlineLevel="0" collapsed="false">
      <c r="A31" s="10" t="n">
        <v>23</v>
      </c>
      <c r="B31" s="29" t="n">
        <f aca="false">B18+D18/1440</f>
        <v>0.590277777777778</v>
      </c>
      <c r="C31" s="29" t="n">
        <f aca="false">B31+D31/1440</f>
        <v>0.604166666666667</v>
      </c>
      <c r="D31" s="30" t="n">
        <v>20</v>
      </c>
      <c r="E31" s="10" t="s">
        <v>331</v>
      </c>
      <c r="F31" s="10" t="s">
        <v>172</v>
      </c>
      <c r="G31" s="10" t="s">
        <v>332</v>
      </c>
      <c r="H31" s="10"/>
      <c r="I31" s="10"/>
      <c r="J31" s="10" t="s">
        <v>209</v>
      </c>
      <c r="K31" s="10"/>
    </row>
    <row r="32" customFormat="false" ht="15" hidden="false" customHeight="false" outlineLevel="0" collapsed="false">
      <c r="A32" s="5" t="n">
        <v>24</v>
      </c>
      <c r="B32" s="5"/>
      <c r="C32" s="5"/>
      <c r="D32" s="5"/>
      <c r="E32" s="5"/>
      <c r="F32" s="31" t="s">
        <v>227</v>
      </c>
      <c r="G32" s="5" t="s">
        <v>333</v>
      </c>
      <c r="H32" s="5"/>
      <c r="I32" s="5" t="s">
        <v>67</v>
      </c>
      <c r="J32" s="5"/>
      <c r="K32" s="5"/>
    </row>
    <row r="33" customFormat="false" ht="26.85" hidden="false" customHeight="false" outlineLevel="0" collapsed="false">
      <c r="A33" s="5" t="n">
        <v>25</v>
      </c>
      <c r="B33" s="5"/>
      <c r="C33" s="5"/>
      <c r="D33" s="5"/>
      <c r="E33" s="5"/>
      <c r="F33" s="31" t="s">
        <v>227</v>
      </c>
      <c r="G33" s="5" t="s">
        <v>334</v>
      </c>
      <c r="H33" s="5"/>
      <c r="I33" s="5" t="s">
        <v>67</v>
      </c>
      <c r="J33" s="5"/>
      <c r="K33" s="5"/>
    </row>
    <row r="34" customFormat="false" ht="15" hidden="false" customHeight="false" outlineLevel="0" collapsed="false">
      <c r="A34" s="12" t="n">
        <v>26</v>
      </c>
      <c r="B34" s="12"/>
      <c r="C34" s="12"/>
      <c r="D34" s="12"/>
      <c r="E34" s="12"/>
      <c r="F34" s="32" t="s">
        <v>229</v>
      </c>
      <c r="G34" s="12" t="s">
        <v>335</v>
      </c>
      <c r="H34" s="12"/>
      <c r="I34" s="12" t="s">
        <v>71</v>
      </c>
      <c r="J34" s="12" t="s">
        <v>231</v>
      </c>
      <c r="K34" s="12"/>
    </row>
    <row r="35" customFormat="false" ht="15" hidden="false" customHeight="false" outlineLevel="0" collapsed="false">
      <c r="A35" s="5" t="n">
        <v>27</v>
      </c>
      <c r="B35" s="5"/>
      <c r="C35" s="5"/>
      <c r="D35" s="5"/>
      <c r="E35" s="5"/>
      <c r="F35" s="31" t="s">
        <v>227</v>
      </c>
      <c r="G35" s="5" t="s">
        <v>336</v>
      </c>
      <c r="H35" s="5"/>
      <c r="I35" s="5" t="s">
        <v>67</v>
      </c>
      <c r="J35" s="5"/>
      <c r="K35" s="5"/>
    </row>
    <row r="36" customFormat="false" ht="15" hidden="false" customHeight="false" outlineLevel="0" collapsed="false">
      <c r="A36" s="5" t="n">
        <v>28</v>
      </c>
      <c r="B36" s="5"/>
      <c r="C36" s="5"/>
      <c r="D36" s="5"/>
      <c r="E36" s="5"/>
      <c r="F36" s="31" t="s">
        <v>227</v>
      </c>
      <c r="G36" s="5" t="s">
        <v>337</v>
      </c>
      <c r="H36" s="5"/>
      <c r="I36" s="5" t="s">
        <v>67</v>
      </c>
      <c r="J36" s="5"/>
      <c r="K36" s="5"/>
    </row>
    <row r="37" customFormat="false" ht="26.85" hidden="false" customHeight="false" outlineLevel="0" collapsed="false">
      <c r="A37" s="5" t="n">
        <v>29</v>
      </c>
      <c r="B37" s="5"/>
      <c r="C37" s="5"/>
      <c r="D37" s="5"/>
      <c r="E37" s="5"/>
      <c r="F37" s="31" t="s">
        <v>227</v>
      </c>
      <c r="G37" s="5" t="s">
        <v>338</v>
      </c>
      <c r="H37" s="5"/>
      <c r="I37" s="5" t="s">
        <v>67</v>
      </c>
      <c r="J37" s="5"/>
      <c r="K37" s="5"/>
    </row>
    <row r="38" customFormat="false" ht="26.85" hidden="false" customHeight="false" outlineLevel="0" collapsed="false">
      <c r="A38" s="10" t="n">
        <v>30</v>
      </c>
      <c r="B38" s="29" t="n">
        <f aca="false">B31+D31/1440</f>
        <v>0.604166666666667</v>
      </c>
      <c r="C38" s="29" t="n">
        <f aca="false">B38+D38/1440</f>
        <v>0.618055555555556</v>
      </c>
      <c r="D38" s="30" t="n">
        <v>20</v>
      </c>
      <c r="E38" s="10" t="s">
        <v>339</v>
      </c>
      <c r="F38" s="10" t="s">
        <v>172</v>
      </c>
      <c r="G38" s="10" t="s">
        <v>340</v>
      </c>
      <c r="H38" s="10"/>
      <c r="I38" s="10"/>
      <c r="J38" s="10" t="s">
        <v>209</v>
      </c>
      <c r="K38" s="10"/>
    </row>
    <row r="39" customFormat="false" ht="47.75" hidden="false" customHeight="false" outlineLevel="0" collapsed="false">
      <c r="A39" s="11" t="n">
        <v>31</v>
      </c>
      <c r="B39" s="11"/>
      <c r="C39" s="11"/>
      <c r="D39" s="11"/>
      <c r="E39" s="11"/>
      <c r="F39" s="33" t="s">
        <v>239</v>
      </c>
      <c r="G39" s="11" t="s">
        <v>282</v>
      </c>
      <c r="H39" s="11" t="s">
        <v>283</v>
      </c>
      <c r="I39" s="11" t="s">
        <v>75</v>
      </c>
      <c r="J39" s="11" t="s">
        <v>242</v>
      </c>
      <c r="K39" s="11"/>
    </row>
    <row r="40" customFormat="false" ht="39.55" hidden="false" customHeight="false" outlineLevel="0" collapsed="false">
      <c r="A40" s="5" t="n">
        <v>32</v>
      </c>
      <c r="B40" s="5"/>
      <c r="C40" s="5"/>
      <c r="D40" s="5"/>
      <c r="E40" s="5"/>
      <c r="F40" s="31" t="s">
        <v>227</v>
      </c>
      <c r="G40" s="5" t="s">
        <v>341</v>
      </c>
      <c r="H40" s="5"/>
      <c r="I40" s="5" t="s">
        <v>67</v>
      </c>
      <c r="J40" s="5"/>
      <c r="K40" s="5"/>
    </row>
    <row r="41" customFormat="false" ht="15" hidden="false" customHeight="false" outlineLevel="0" collapsed="false">
      <c r="A41" s="12" t="n">
        <v>33</v>
      </c>
      <c r="B41" s="12"/>
      <c r="C41" s="12"/>
      <c r="D41" s="12"/>
      <c r="E41" s="12"/>
      <c r="F41" s="32" t="s">
        <v>229</v>
      </c>
      <c r="G41" s="12" t="s">
        <v>342</v>
      </c>
      <c r="H41" s="12"/>
      <c r="I41" s="12" t="s">
        <v>71</v>
      </c>
      <c r="J41" s="12" t="s">
        <v>231</v>
      </c>
      <c r="K41" s="12"/>
    </row>
    <row r="42" customFormat="false" ht="15" hidden="false" customHeight="false" outlineLevel="0" collapsed="false">
      <c r="A42" s="5" t="n">
        <v>34</v>
      </c>
      <c r="B42" s="5"/>
      <c r="C42" s="5"/>
      <c r="D42" s="5"/>
      <c r="E42" s="5"/>
      <c r="F42" s="31" t="s">
        <v>227</v>
      </c>
      <c r="G42" s="5" t="s">
        <v>343</v>
      </c>
      <c r="H42" s="5"/>
      <c r="I42" s="5" t="s">
        <v>67</v>
      </c>
      <c r="J42" s="5"/>
      <c r="K42" s="5"/>
    </row>
    <row r="43" customFormat="false" ht="15" hidden="false" customHeight="false" outlineLevel="0" collapsed="false">
      <c r="A43" s="5" t="n">
        <v>35</v>
      </c>
      <c r="B43" s="5"/>
      <c r="C43" s="5"/>
      <c r="D43" s="5"/>
      <c r="E43" s="5"/>
      <c r="F43" s="31" t="s">
        <v>227</v>
      </c>
      <c r="G43" s="5" t="s">
        <v>344</v>
      </c>
      <c r="H43" s="5"/>
      <c r="I43" s="5" t="s">
        <v>67</v>
      </c>
      <c r="J43" s="5"/>
      <c r="K43" s="5"/>
    </row>
    <row r="44" customFormat="false" ht="26.85" hidden="false" customHeight="false" outlineLevel="0" collapsed="false">
      <c r="A44" s="5" t="n">
        <v>36</v>
      </c>
      <c r="B44" s="5"/>
      <c r="C44" s="5"/>
      <c r="D44" s="5"/>
      <c r="E44" s="5"/>
      <c r="F44" s="31" t="s">
        <v>227</v>
      </c>
      <c r="G44" s="5" t="s">
        <v>345</v>
      </c>
      <c r="H44" s="5"/>
      <c r="I44" s="5" t="s">
        <v>67</v>
      </c>
      <c r="J44" s="5"/>
      <c r="K44" s="5"/>
    </row>
    <row r="45" customFormat="false" ht="15" hidden="false" customHeight="false" outlineLevel="0" collapsed="false">
      <c r="A45" s="12" t="n">
        <v>37</v>
      </c>
      <c r="B45" s="12"/>
      <c r="C45" s="12"/>
      <c r="D45" s="12"/>
      <c r="E45" s="12"/>
      <c r="F45" s="32" t="s">
        <v>229</v>
      </c>
      <c r="G45" s="12" t="s">
        <v>281</v>
      </c>
      <c r="H45" s="12"/>
      <c r="I45" s="12" t="s">
        <v>71</v>
      </c>
      <c r="J45" s="12" t="s">
        <v>231</v>
      </c>
      <c r="K45" s="12"/>
    </row>
    <row r="46" customFormat="false" ht="26.85" hidden="false" customHeight="false" outlineLevel="0" collapsed="false">
      <c r="A46" s="5" t="n">
        <v>38</v>
      </c>
      <c r="B46" s="5"/>
      <c r="C46" s="5"/>
      <c r="D46" s="5"/>
      <c r="E46" s="5"/>
      <c r="F46" s="31" t="s">
        <v>227</v>
      </c>
      <c r="G46" s="5" t="s">
        <v>346</v>
      </c>
      <c r="H46" s="5"/>
      <c r="I46" s="5" t="s">
        <v>67</v>
      </c>
      <c r="J46" s="5"/>
      <c r="K46" s="5"/>
    </row>
    <row r="47" customFormat="false" ht="15" hidden="false" customHeight="false" outlineLevel="0" collapsed="false">
      <c r="A47" s="12" t="n">
        <v>39</v>
      </c>
      <c r="B47" s="12"/>
      <c r="C47" s="12"/>
      <c r="D47" s="12"/>
      <c r="E47" s="12"/>
      <c r="F47" s="32" t="s">
        <v>229</v>
      </c>
      <c r="G47" s="12" t="s">
        <v>347</v>
      </c>
      <c r="H47" s="12"/>
      <c r="I47" s="12" t="s">
        <v>71</v>
      </c>
      <c r="J47" s="12" t="s">
        <v>231</v>
      </c>
      <c r="K47" s="12"/>
    </row>
    <row r="48" customFormat="false" ht="15" hidden="false" customHeight="false" outlineLevel="0" collapsed="false">
      <c r="A48" s="5" t="n">
        <v>40</v>
      </c>
      <c r="B48" s="5"/>
      <c r="C48" s="5"/>
      <c r="D48" s="5"/>
      <c r="E48" s="5"/>
      <c r="F48" s="31" t="s">
        <v>227</v>
      </c>
      <c r="G48" s="5" t="s">
        <v>348</v>
      </c>
      <c r="H48" s="5"/>
      <c r="I48" s="5" t="s">
        <v>67</v>
      </c>
      <c r="J48" s="5"/>
      <c r="K48" s="5"/>
    </row>
    <row r="49" customFormat="false" ht="26.85" hidden="false" customHeight="false" outlineLevel="0" collapsed="false">
      <c r="A49" s="10" t="n">
        <v>41</v>
      </c>
      <c r="B49" s="29" t="n">
        <f aca="false">B38+D38/1440</f>
        <v>0.618055555555556</v>
      </c>
      <c r="C49" s="29" t="n">
        <f aca="false">B49+D49/1440</f>
        <v>0.631944444444444</v>
      </c>
      <c r="D49" s="30" t="n">
        <v>20</v>
      </c>
      <c r="E49" s="10" t="s">
        <v>349</v>
      </c>
      <c r="F49" s="10" t="s">
        <v>172</v>
      </c>
      <c r="G49" s="10" t="s">
        <v>350</v>
      </c>
      <c r="H49" s="10"/>
      <c r="I49" s="10"/>
      <c r="J49" s="10" t="s">
        <v>209</v>
      </c>
      <c r="K49" s="10"/>
    </row>
    <row r="50" customFormat="false" ht="26.85" hidden="false" customHeight="false" outlineLevel="0" collapsed="false">
      <c r="A50" s="5" t="n">
        <v>42</v>
      </c>
      <c r="B50" s="5"/>
      <c r="C50" s="5"/>
      <c r="D50" s="5"/>
      <c r="E50" s="5"/>
      <c r="F50" s="31" t="s">
        <v>227</v>
      </c>
      <c r="G50" s="5" t="s">
        <v>351</v>
      </c>
      <c r="H50" s="5"/>
      <c r="I50" s="5" t="s">
        <v>67</v>
      </c>
      <c r="J50" s="5"/>
      <c r="K50" s="5"/>
    </row>
    <row r="51" customFormat="false" ht="15" hidden="false" customHeight="false" outlineLevel="0" collapsed="false">
      <c r="A51" s="5" t="n">
        <v>43</v>
      </c>
      <c r="B51" s="5"/>
      <c r="C51" s="5"/>
      <c r="D51" s="5"/>
      <c r="E51" s="5"/>
      <c r="F51" s="31" t="s">
        <v>227</v>
      </c>
      <c r="G51" s="5" t="s">
        <v>352</v>
      </c>
      <c r="H51" s="5"/>
      <c r="I51" s="5" t="s">
        <v>67</v>
      </c>
      <c r="J51" s="5"/>
      <c r="K51" s="5"/>
    </row>
    <row r="52" customFormat="false" ht="15" hidden="false" customHeight="false" outlineLevel="0" collapsed="false">
      <c r="A52" s="5" t="n">
        <v>44</v>
      </c>
      <c r="B52" s="5"/>
      <c r="C52" s="5"/>
      <c r="D52" s="5"/>
      <c r="E52" s="5"/>
      <c r="F52" s="31" t="s">
        <v>227</v>
      </c>
      <c r="G52" s="5" t="s">
        <v>353</v>
      </c>
      <c r="H52" s="5"/>
      <c r="I52" s="5" t="s">
        <v>67</v>
      </c>
      <c r="J52" s="5"/>
      <c r="K52" s="5"/>
    </row>
    <row r="53" customFormat="false" ht="15" hidden="false" customHeight="false" outlineLevel="0" collapsed="false">
      <c r="A53" s="12" t="n">
        <v>45</v>
      </c>
      <c r="B53" s="12"/>
      <c r="C53" s="12"/>
      <c r="D53" s="12"/>
      <c r="E53" s="12"/>
      <c r="F53" s="32" t="s">
        <v>229</v>
      </c>
      <c r="G53" s="12" t="s">
        <v>354</v>
      </c>
      <c r="H53" s="12"/>
      <c r="I53" s="12" t="s">
        <v>71</v>
      </c>
      <c r="J53" s="12" t="s">
        <v>231</v>
      </c>
      <c r="K53" s="12"/>
    </row>
    <row r="54" customFormat="false" ht="15" hidden="false" customHeight="false" outlineLevel="0" collapsed="false">
      <c r="A54" s="5" t="n">
        <v>46</v>
      </c>
      <c r="B54" s="5"/>
      <c r="C54" s="5"/>
      <c r="D54" s="5"/>
      <c r="E54" s="5"/>
      <c r="F54" s="31" t="s">
        <v>227</v>
      </c>
      <c r="G54" s="5" t="s">
        <v>355</v>
      </c>
      <c r="H54" s="5"/>
      <c r="I54" s="5" t="s">
        <v>67</v>
      </c>
      <c r="J54" s="5"/>
      <c r="K54" s="5"/>
    </row>
    <row r="55" customFormat="false" ht="26.85" hidden="false" customHeight="false" outlineLevel="0" collapsed="false">
      <c r="A55" s="10" t="n">
        <v>47</v>
      </c>
      <c r="B55" s="29" t="n">
        <f aca="false">B49+D49/1440</f>
        <v>0.631944444444444</v>
      </c>
      <c r="C55" s="29" t="n">
        <f aca="false">B55+D55/1440</f>
        <v>0.642361111111111</v>
      </c>
      <c r="D55" s="30" t="n">
        <v>15</v>
      </c>
      <c r="E55" s="10" t="s">
        <v>356</v>
      </c>
      <c r="F55" s="10" t="s">
        <v>172</v>
      </c>
      <c r="G55" s="10" t="s">
        <v>357</v>
      </c>
      <c r="H55" s="10"/>
      <c r="I55" s="10"/>
      <c r="J55" s="10" t="s">
        <v>209</v>
      </c>
      <c r="K55" s="10"/>
    </row>
    <row r="56" customFormat="false" ht="15" hidden="false" customHeight="false" outlineLevel="0" collapsed="false">
      <c r="A56" s="5" t="n">
        <v>48</v>
      </c>
      <c r="B56" s="5"/>
      <c r="C56" s="5"/>
      <c r="D56" s="5"/>
      <c r="E56" s="5"/>
      <c r="F56" s="31" t="s">
        <v>227</v>
      </c>
      <c r="G56" s="5" t="s">
        <v>358</v>
      </c>
      <c r="H56" s="5"/>
      <c r="I56" s="5" t="s">
        <v>67</v>
      </c>
      <c r="J56" s="5"/>
      <c r="K56" s="5"/>
    </row>
    <row r="57" customFormat="false" ht="15" hidden="false" customHeight="false" outlineLevel="0" collapsed="false">
      <c r="A57" s="5" t="n">
        <v>49</v>
      </c>
      <c r="B57" s="5"/>
      <c r="C57" s="5"/>
      <c r="D57" s="5"/>
      <c r="E57" s="5"/>
      <c r="F57" s="31" t="s">
        <v>227</v>
      </c>
      <c r="G57" s="5" t="s">
        <v>359</v>
      </c>
      <c r="H57" s="5"/>
      <c r="I57" s="5" t="s">
        <v>67</v>
      </c>
      <c r="J57" s="5"/>
      <c r="K57" s="5"/>
    </row>
    <row r="58" customFormat="false" ht="15" hidden="false" customHeight="false" outlineLevel="0" collapsed="false">
      <c r="A58" s="5" t="n">
        <v>50</v>
      </c>
      <c r="B58" s="5"/>
      <c r="C58" s="5"/>
      <c r="D58" s="5"/>
      <c r="E58" s="5"/>
      <c r="F58" s="31" t="s">
        <v>227</v>
      </c>
      <c r="G58" s="5" t="s">
        <v>360</v>
      </c>
      <c r="H58" s="5"/>
      <c r="I58" s="5" t="s">
        <v>67</v>
      </c>
      <c r="J58" s="5"/>
      <c r="K58" s="5"/>
    </row>
    <row r="59" customFormat="false" ht="26.85" hidden="false" customHeight="false" outlineLevel="0" collapsed="false">
      <c r="A59" s="10" t="n">
        <v>51</v>
      </c>
      <c r="B59" s="29" t="n">
        <f aca="false">B55+D55/1440</f>
        <v>0.642361111111111</v>
      </c>
      <c r="C59" s="29" t="n">
        <f aca="false">B59+D59/1440</f>
        <v>0.652777777777778</v>
      </c>
      <c r="D59" s="30" t="n">
        <v>15</v>
      </c>
      <c r="E59" s="10" t="s">
        <v>361</v>
      </c>
      <c r="F59" s="10" t="s">
        <v>172</v>
      </c>
      <c r="G59" s="10" t="s">
        <v>362</v>
      </c>
      <c r="H59" s="10"/>
      <c r="I59" s="10"/>
      <c r="J59" s="10" t="s">
        <v>209</v>
      </c>
      <c r="K59" s="10"/>
    </row>
    <row r="60" customFormat="false" ht="15" hidden="false" customHeight="false" outlineLevel="0" collapsed="false">
      <c r="A60" s="5" t="n">
        <v>52</v>
      </c>
      <c r="B60" s="5"/>
      <c r="C60" s="5"/>
      <c r="D60" s="5"/>
      <c r="E60" s="5"/>
      <c r="F60" s="31" t="s">
        <v>227</v>
      </c>
      <c r="G60" s="5" t="s">
        <v>363</v>
      </c>
      <c r="H60" s="5"/>
      <c r="I60" s="5" t="s">
        <v>67</v>
      </c>
      <c r="J60" s="5"/>
      <c r="K60" s="5"/>
    </row>
    <row r="61" customFormat="false" ht="26.85" hidden="false" customHeight="false" outlineLevel="0" collapsed="false">
      <c r="A61" s="5" t="n">
        <v>53</v>
      </c>
      <c r="B61" s="5"/>
      <c r="C61" s="5"/>
      <c r="D61" s="5"/>
      <c r="E61" s="5"/>
      <c r="F61" s="31" t="s">
        <v>227</v>
      </c>
      <c r="G61" s="5" t="s">
        <v>364</v>
      </c>
      <c r="H61" s="5"/>
      <c r="I61" s="5" t="s">
        <v>67</v>
      </c>
      <c r="J61" s="5"/>
      <c r="K61" s="5"/>
    </row>
    <row r="62" customFormat="false" ht="15" hidden="false" customHeight="false" outlineLevel="0" collapsed="false">
      <c r="A62" s="12" t="n">
        <v>54</v>
      </c>
      <c r="B62" s="12"/>
      <c r="C62" s="12"/>
      <c r="D62" s="12"/>
      <c r="E62" s="12"/>
      <c r="F62" s="32" t="s">
        <v>229</v>
      </c>
      <c r="G62" s="12" t="s">
        <v>365</v>
      </c>
      <c r="H62" s="12"/>
      <c r="I62" s="12" t="s">
        <v>71</v>
      </c>
      <c r="J62" s="12" t="s">
        <v>231</v>
      </c>
      <c r="K62" s="12"/>
    </row>
    <row r="63" customFormat="false" ht="15" hidden="false" customHeight="false" outlineLevel="0" collapsed="false">
      <c r="A63" s="5" t="n">
        <v>55</v>
      </c>
      <c r="B63" s="5"/>
      <c r="C63" s="5"/>
      <c r="D63" s="5"/>
      <c r="E63" s="5"/>
      <c r="F63" s="31" t="s">
        <v>227</v>
      </c>
      <c r="G63" s="5" t="s">
        <v>366</v>
      </c>
      <c r="H63" s="5"/>
      <c r="I63" s="5" t="s">
        <v>67</v>
      </c>
      <c r="J63" s="5"/>
      <c r="K63" s="5"/>
    </row>
    <row r="64" customFormat="false" ht="15" hidden="false" customHeight="false" outlineLevel="0" collapsed="false">
      <c r="A64" s="5" t="n">
        <v>56</v>
      </c>
      <c r="B64" s="5"/>
      <c r="C64" s="5"/>
      <c r="D64" s="5"/>
      <c r="E64" s="5"/>
      <c r="F64" s="31" t="s">
        <v>227</v>
      </c>
      <c r="G64" s="5" t="s">
        <v>367</v>
      </c>
      <c r="H64" s="5"/>
      <c r="I64" s="5" t="s">
        <v>67</v>
      </c>
      <c r="J64" s="5"/>
      <c r="K64" s="5"/>
    </row>
    <row r="65" customFormat="false" ht="26.85" hidden="false" customHeight="false" outlineLevel="0" collapsed="false">
      <c r="A65" s="5" t="n">
        <v>57</v>
      </c>
      <c r="B65" s="5"/>
      <c r="C65" s="5"/>
      <c r="D65" s="5"/>
      <c r="E65" s="5"/>
      <c r="F65" s="31" t="s">
        <v>227</v>
      </c>
      <c r="G65" s="5" t="s">
        <v>368</v>
      </c>
      <c r="H65" s="5"/>
      <c r="I65" s="5" t="s">
        <v>67</v>
      </c>
      <c r="J65" s="5"/>
      <c r="K65" s="5"/>
    </row>
    <row r="66" customFormat="false" ht="26.85" hidden="false" customHeight="false" outlineLevel="0" collapsed="false">
      <c r="A66" s="10" t="n">
        <v>58</v>
      </c>
      <c r="B66" s="29" t="n">
        <f aca="false">B59+D59/1440</f>
        <v>0.652777777777778</v>
      </c>
      <c r="C66" s="29" t="n">
        <f aca="false">B66+D66/1440</f>
        <v>0.659722222222222</v>
      </c>
      <c r="D66" s="30" t="n">
        <v>10</v>
      </c>
      <c r="E66" s="10" t="s">
        <v>369</v>
      </c>
      <c r="F66" s="10" t="s">
        <v>172</v>
      </c>
      <c r="G66" s="10" t="s">
        <v>370</v>
      </c>
      <c r="H66" s="10"/>
      <c r="I66" s="10"/>
      <c r="J66" s="10" t="s">
        <v>209</v>
      </c>
      <c r="K66" s="10"/>
    </row>
    <row r="67" customFormat="false" ht="39.55" hidden="false" customHeight="false" outlineLevel="0" collapsed="false">
      <c r="A67" s="5" t="n">
        <v>59</v>
      </c>
      <c r="B67" s="5"/>
      <c r="C67" s="5"/>
      <c r="D67" s="5"/>
      <c r="E67" s="5"/>
      <c r="F67" s="31" t="s">
        <v>210</v>
      </c>
      <c r="G67" s="5" t="s">
        <v>371</v>
      </c>
      <c r="H67" s="5"/>
      <c r="I67" s="6" t="s">
        <v>130</v>
      </c>
      <c r="J67" s="5"/>
      <c r="K67" s="5"/>
    </row>
    <row r="68" customFormat="false" ht="26.85" hidden="false" customHeight="false" outlineLevel="0" collapsed="false">
      <c r="A68" s="10" t="n">
        <v>60</v>
      </c>
      <c r="B68" s="29" t="n">
        <f aca="false">B66+D66/1440</f>
        <v>0.659722222222222</v>
      </c>
      <c r="C68" s="29" t="n">
        <f aca="false">B68+D68/1440</f>
        <v>0.666666666666667</v>
      </c>
      <c r="D68" s="30" t="n">
        <v>10</v>
      </c>
      <c r="E68" s="10" t="s">
        <v>299</v>
      </c>
      <c r="F68" s="10" t="s">
        <v>172</v>
      </c>
      <c r="G68" s="10" t="s">
        <v>300</v>
      </c>
      <c r="H68" s="10"/>
      <c r="I68" s="10"/>
      <c r="J68" s="10" t="s">
        <v>209</v>
      </c>
      <c r="K68" s="10"/>
    </row>
    <row r="69" customFormat="false" ht="15" hidden="false" customHeight="false" outlineLevel="0" collapsed="false">
      <c r="A69" s="5" t="n">
        <v>61</v>
      </c>
      <c r="B69" s="5"/>
      <c r="C69" s="5"/>
      <c r="D69" s="5"/>
      <c r="E69" s="5"/>
      <c r="F69" s="31" t="s">
        <v>227</v>
      </c>
      <c r="G69" s="5" t="s">
        <v>301</v>
      </c>
      <c r="H69" s="5"/>
      <c r="I69" s="5" t="s">
        <v>67</v>
      </c>
      <c r="J69" s="5"/>
      <c r="K69" s="5"/>
    </row>
    <row r="70" customFormat="false" ht="26.85" hidden="false" customHeight="false" outlineLevel="0" collapsed="false">
      <c r="A70" s="5" t="n">
        <v>62</v>
      </c>
      <c r="B70" s="5"/>
      <c r="C70" s="5"/>
      <c r="D70" s="5"/>
      <c r="E70" s="5"/>
      <c r="F70" s="31" t="s">
        <v>210</v>
      </c>
      <c r="G70" s="6" t="s">
        <v>302</v>
      </c>
      <c r="H70" s="5" t="s">
        <v>303</v>
      </c>
      <c r="I70" s="5" t="s">
        <v>67</v>
      </c>
      <c r="J70" s="5"/>
      <c r="K70" s="5"/>
    </row>
    <row r="71" customFormat="false" ht="15" hidden="false" customHeight="false" outlineLevel="0" collapsed="false">
      <c r="A71" s="5" t="n">
        <v>63</v>
      </c>
      <c r="B71" s="5"/>
      <c r="C71" s="5"/>
      <c r="D71" s="5"/>
      <c r="E71" s="5"/>
      <c r="F71" s="31" t="s">
        <v>210</v>
      </c>
      <c r="G71" s="5" t="s">
        <v>304</v>
      </c>
      <c r="H71" s="5" t="s">
        <v>305</v>
      </c>
      <c r="I71" s="5" t="s">
        <v>67</v>
      </c>
      <c r="J71" s="5"/>
      <c r="K71" s="5"/>
    </row>
    <row r="72" customFormat="false" ht="26.85" hidden="false" customHeight="false" outlineLevel="0" collapsed="false">
      <c r="A72" s="14" t="n">
        <v>64</v>
      </c>
      <c r="B72" s="35" t="n">
        <f aca="false">C68</f>
        <v>0.666666666666667</v>
      </c>
      <c r="C72" s="14"/>
      <c r="D72" s="36" t="s">
        <v>170</v>
      </c>
      <c r="E72" s="14" t="s">
        <v>306</v>
      </c>
      <c r="F72" s="14" t="s">
        <v>170</v>
      </c>
      <c r="G72" s="14" t="s">
        <v>307</v>
      </c>
      <c r="H72" s="14"/>
      <c r="I72" s="14" t="s">
        <v>206</v>
      </c>
      <c r="J72" s="14"/>
      <c r="K72" s="14"/>
    </row>
    <row r="73" customFormat="false" ht="26.85" hidden="false" customHeight="false" outlineLevel="0" collapsed="false">
      <c r="A73" s="14" t="n">
        <v>65</v>
      </c>
      <c r="B73" s="35" t="n">
        <f aca="false">C68+5/1440</f>
        <v>0.670138888888889</v>
      </c>
      <c r="C73" s="14"/>
      <c r="D73" s="36" t="s">
        <v>308</v>
      </c>
      <c r="E73" s="14" t="s">
        <v>306</v>
      </c>
      <c r="F73" s="14" t="s">
        <v>309</v>
      </c>
      <c r="G73" s="37" t="s">
        <v>310</v>
      </c>
      <c r="H73" s="14"/>
      <c r="I73" s="37" t="s">
        <v>311</v>
      </c>
      <c r="J73" s="14"/>
      <c r="K73" s="14"/>
    </row>
    <row r="74" customFormat="false" ht="26.85" hidden="false" customHeight="false" outlineLevel="0" collapsed="false">
      <c r="A74" s="14" t="n">
        <v>66</v>
      </c>
      <c r="B74" s="35" t="n">
        <f aca="false">C68+30/1440</f>
        <v>0.6875</v>
      </c>
      <c r="C74" s="14"/>
      <c r="D74" s="36" t="s">
        <v>312</v>
      </c>
      <c r="E74" s="14" t="s">
        <v>306</v>
      </c>
      <c r="F74" s="14" t="s">
        <v>313</v>
      </c>
      <c r="G74" s="14" t="s">
        <v>314</v>
      </c>
      <c r="H74" s="14"/>
      <c r="I74" s="14" t="s">
        <v>315</v>
      </c>
      <c r="J74" s="14"/>
      <c r="K74" s="14"/>
    </row>
    <row r="76" customFormat="false" ht="15" hidden="false" customHeight="false" outlineLevel="0" collapsed="false">
      <c r="E76" s="23" t="s">
        <v>316</v>
      </c>
      <c r="F76" s="23" t="n">
        <f aca="false">SUMIF(F9:F74,"파트",D9:D74)</f>
        <v>120</v>
      </c>
      <c r="G76" s="23" t="str">
        <f aca="false">IF(F76=120,"OK — 120분","확인 필요: 파트 합이 120분이 아님")</f>
        <v>OK — 120분</v>
      </c>
    </row>
    <row r="77" customFormat="false" ht="15" hidden="false" customHeight="false" outlineLevel="0" collapsed="false">
      <c r="E77" s="23" t="s">
        <v>317</v>
      </c>
      <c r="F77" s="38" t="n">
        <f aca="false">C68</f>
        <v>0.666666666666667</v>
      </c>
    </row>
    <row r="79" customFormat="false" ht="15" hidden="false" customHeight="false" outlineLevel="0" collapsed="false">
      <c r="A79" s="2" t="s">
        <v>318</v>
      </c>
    </row>
    <row r="80" customFormat="false" ht="15" hidden="false" customHeight="false" outlineLevel="0" collapsed="false">
      <c r="A80" s="2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7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22"/>
  </cols>
  <sheetData>
    <row r="1" customFormat="false" ht="19.4" hidden="false" customHeight="false" outlineLevel="0" collapsed="false">
      <c r="A1" s="1" t="s">
        <v>372</v>
      </c>
    </row>
    <row r="2" customFormat="false" ht="15" hidden="false" customHeight="false" outlineLevel="0" collapsed="false">
      <c r="A2" s="21" t="s">
        <v>373</v>
      </c>
    </row>
    <row r="3" customFormat="false" ht="15" hidden="false" customHeight="false" outlineLevel="0" collapsed="false">
      <c r="A3" s="22" t="s">
        <v>374</v>
      </c>
    </row>
    <row r="4" customFormat="false" ht="15" hidden="false" customHeight="false" outlineLevel="0" collapsed="false">
      <c r="A4" s="23" t="s">
        <v>161</v>
      </c>
      <c r="C4" s="24" t="s">
        <v>162</v>
      </c>
      <c r="D4" s="2" t="s">
        <v>163</v>
      </c>
    </row>
    <row r="5" customFormat="false" ht="15" hidden="false" customHeight="false" outlineLevel="0" collapsed="false">
      <c r="A5" s="23" t="s">
        <v>164</v>
      </c>
      <c r="C5" s="22" t="s">
        <v>375</v>
      </c>
    </row>
    <row r="6" customFormat="false" ht="15" hidden="false" customHeight="false" outlineLevel="0" collapsed="false">
      <c r="A6" s="23" t="s">
        <v>166</v>
      </c>
      <c r="C6" s="22" t="s">
        <v>324</v>
      </c>
    </row>
    <row r="8" customFormat="false" ht="15" hidden="false" customHeight="false" outlineLevel="0" collapsed="false">
      <c r="A8" s="25" t="s">
        <v>168</v>
      </c>
      <c r="B8" s="4" t="s">
        <v>169</v>
      </c>
      <c r="C8" s="4" t="s">
        <v>170</v>
      </c>
      <c r="D8" s="4" t="s">
        <v>171</v>
      </c>
      <c r="E8" s="4" t="s">
        <v>172</v>
      </c>
      <c r="F8" s="4" t="s">
        <v>173</v>
      </c>
      <c r="G8" s="4" t="s">
        <v>174</v>
      </c>
      <c r="H8" s="4" t="s">
        <v>175</v>
      </c>
      <c r="I8" s="4" t="s">
        <v>122</v>
      </c>
      <c r="J8" s="4" t="s">
        <v>176</v>
      </c>
      <c r="K8" s="4" t="s">
        <v>177</v>
      </c>
    </row>
    <row r="9" customFormat="false" ht="15" hidden="false" customHeight="false" outlineLevel="0" collapsed="false">
      <c r="A9" s="9" t="n">
        <v>1</v>
      </c>
      <c r="B9" s="26" t="n">
        <f aca="false">$C$4-180/1440</f>
        <v>0.458333333333333</v>
      </c>
      <c r="C9" s="9"/>
      <c r="D9" s="27" t="s">
        <v>178</v>
      </c>
      <c r="E9" s="9" t="s">
        <v>179</v>
      </c>
      <c r="F9" s="9" t="s">
        <v>180</v>
      </c>
      <c r="G9" s="9" t="s">
        <v>181</v>
      </c>
      <c r="H9" s="9"/>
      <c r="I9" s="9" t="s">
        <v>128</v>
      </c>
      <c r="J9" s="9"/>
      <c r="K9" s="9"/>
    </row>
    <row r="10" customFormat="false" ht="15" hidden="false" customHeight="false" outlineLevel="0" collapsed="false">
      <c r="A10" s="9" t="n">
        <v>2</v>
      </c>
      <c r="B10" s="26" t="n">
        <f aca="false">$C$4-90/1440</f>
        <v>0.520833333333333</v>
      </c>
      <c r="C10" s="9"/>
      <c r="D10" s="27" t="s">
        <v>182</v>
      </c>
      <c r="E10" s="9" t="s">
        <v>179</v>
      </c>
      <c r="F10" s="9" t="s">
        <v>183</v>
      </c>
      <c r="G10" s="9" t="s">
        <v>184</v>
      </c>
      <c r="H10" s="9"/>
      <c r="I10" s="9" t="s">
        <v>185</v>
      </c>
      <c r="J10" s="9"/>
      <c r="K10" s="9"/>
    </row>
    <row r="11" customFormat="false" ht="15" hidden="false" customHeight="false" outlineLevel="0" collapsed="false">
      <c r="A11" s="9" t="n">
        <v>3</v>
      </c>
      <c r="B11" s="26" t="n">
        <f aca="false">$C$4-80/1440</f>
        <v>0.527777777777778</v>
      </c>
      <c r="C11" s="9"/>
      <c r="D11" s="27" t="s">
        <v>186</v>
      </c>
      <c r="E11" s="9" t="s">
        <v>179</v>
      </c>
      <c r="F11" s="9" t="s">
        <v>187</v>
      </c>
      <c r="G11" s="9" t="s">
        <v>188</v>
      </c>
      <c r="H11" s="9"/>
      <c r="I11" s="28" t="s">
        <v>130</v>
      </c>
      <c r="J11" s="9"/>
      <c r="K11" s="9"/>
    </row>
    <row r="12" customFormat="false" ht="26.85" hidden="false" customHeight="false" outlineLevel="0" collapsed="false">
      <c r="A12" s="9" t="n">
        <v>4</v>
      </c>
      <c r="B12" s="26" t="n">
        <f aca="false">$C$4-60/1440</f>
        <v>0.541666666666667</v>
      </c>
      <c r="C12" s="9"/>
      <c r="D12" s="27" t="s">
        <v>189</v>
      </c>
      <c r="E12" s="9" t="s">
        <v>179</v>
      </c>
      <c r="F12" s="9" t="s">
        <v>190</v>
      </c>
      <c r="G12" s="9" t="s">
        <v>191</v>
      </c>
      <c r="H12" s="9"/>
      <c r="I12" s="9" t="s">
        <v>128</v>
      </c>
      <c r="J12" s="9"/>
      <c r="K12" s="9"/>
    </row>
    <row r="13" customFormat="false" ht="26.85" hidden="false" customHeight="false" outlineLevel="0" collapsed="false">
      <c r="A13" s="9" t="n">
        <v>5</v>
      </c>
      <c r="B13" s="26" t="n">
        <f aca="false">$C$4-45/1440</f>
        <v>0.552083333333333</v>
      </c>
      <c r="C13" s="9"/>
      <c r="D13" s="27" t="s">
        <v>192</v>
      </c>
      <c r="E13" s="9" t="s">
        <v>179</v>
      </c>
      <c r="F13" s="9" t="s">
        <v>75</v>
      </c>
      <c r="G13" s="9" t="s">
        <v>193</v>
      </c>
      <c r="H13" s="9"/>
      <c r="I13" s="9" t="s">
        <v>75</v>
      </c>
      <c r="J13" s="9"/>
      <c r="K13" s="9"/>
    </row>
    <row r="14" customFormat="false" ht="26.85" hidden="false" customHeight="false" outlineLevel="0" collapsed="false">
      <c r="A14" s="9" t="n">
        <v>6</v>
      </c>
      <c r="B14" s="26" t="n">
        <f aca="false">$C$4-30/1440</f>
        <v>0.5625</v>
      </c>
      <c r="C14" s="9"/>
      <c r="D14" s="27" t="s">
        <v>194</v>
      </c>
      <c r="E14" s="9" t="s">
        <v>179</v>
      </c>
      <c r="F14" s="9" t="s">
        <v>195</v>
      </c>
      <c r="G14" s="9" t="s">
        <v>196</v>
      </c>
      <c r="H14" s="9"/>
      <c r="I14" s="9" t="s">
        <v>75</v>
      </c>
      <c r="J14" s="9"/>
      <c r="K14" s="9"/>
    </row>
    <row r="15" customFormat="false" ht="26.85" hidden="false" customHeight="false" outlineLevel="0" collapsed="false">
      <c r="A15" s="9" t="n">
        <v>7</v>
      </c>
      <c r="B15" s="26" t="n">
        <f aca="false">$C$4-20/1440</f>
        <v>0.569444444444445</v>
      </c>
      <c r="C15" s="9"/>
      <c r="D15" s="27" t="s">
        <v>197</v>
      </c>
      <c r="E15" s="9" t="s">
        <v>179</v>
      </c>
      <c r="F15" s="9" t="s">
        <v>198</v>
      </c>
      <c r="G15" s="9" t="s">
        <v>199</v>
      </c>
      <c r="H15" s="9"/>
      <c r="I15" s="28" t="s">
        <v>200</v>
      </c>
      <c r="J15" s="9"/>
      <c r="K15" s="9"/>
    </row>
    <row r="16" customFormat="false" ht="26.85" hidden="false" customHeight="false" outlineLevel="0" collapsed="false">
      <c r="A16" s="9" t="n">
        <v>8</v>
      </c>
      <c r="B16" s="26" t="n">
        <f aca="false">$C$4-10/1440</f>
        <v>0.576388888888889</v>
      </c>
      <c r="C16" s="9"/>
      <c r="D16" s="27" t="s">
        <v>201</v>
      </c>
      <c r="E16" s="9" t="s">
        <v>179</v>
      </c>
      <c r="F16" s="9" t="s">
        <v>202</v>
      </c>
      <c r="G16" s="9" t="s">
        <v>203</v>
      </c>
      <c r="H16" s="9"/>
      <c r="I16" s="9" t="s">
        <v>128</v>
      </c>
      <c r="J16" s="9"/>
      <c r="K16" s="9"/>
    </row>
    <row r="17" customFormat="false" ht="15" hidden="false" customHeight="false" outlineLevel="0" collapsed="false">
      <c r="A17" s="9" t="n">
        <v>9</v>
      </c>
      <c r="B17" s="26" t="str">
        <f aca="false">$C$4</f>
        <v>14:00</v>
      </c>
      <c r="C17" s="9"/>
      <c r="D17" s="27" t="s">
        <v>204</v>
      </c>
      <c r="E17" s="9" t="s">
        <v>179</v>
      </c>
      <c r="F17" s="9" t="s">
        <v>169</v>
      </c>
      <c r="G17" s="9" t="s">
        <v>205</v>
      </c>
      <c r="H17" s="9"/>
      <c r="I17" s="9" t="s">
        <v>206</v>
      </c>
      <c r="J17" s="9"/>
      <c r="K17" s="9"/>
    </row>
    <row r="18" customFormat="false" ht="26.85" hidden="false" customHeight="false" outlineLevel="0" collapsed="false">
      <c r="A18" s="10" t="n">
        <v>10</v>
      </c>
      <c r="B18" s="29" t="str">
        <f aca="false">$C$4</f>
        <v>14:00</v>
      </c>
      <c r="C18" s="29" t="n">
        <f aca="false">B18+D18/1440</f>
        <v>0.590277777777778</v>
      </c>
      <c r="D18" s="30" t="n">
        <v>10</v>
      </c>
      <c r="E18" s="10" t="s">
        <v>207</v>
      </c>
      <c r="F18" s="10" t="s">
        <v>172</v>
      </c>
      <c r="G18" s="10" t="s">
        <v>208</v>
      </c>
      <c r="H18" s="10"/>
      <c r="I18" s="10"/>
      <c r="J18" s="10" t="s">
        <v>209</v>
      </c>
      <c r="K18" s="10"/>
    </row>
    <row r="19" customFormat="false" ht="26.85" hidden="false" customHeight="false" outlineLevel="0" collapsed="false">
      <c r="A19" s="5" t="n">
        <v>11</v>
      </c>
      <c r="B19" s="5"/>
      <c r="C19" s="5"/>
      <c r="D19" s="5"/>
      <c r="E19" s="5"/>
      <c r="F19" s="31" t="s">
        <v>210</v>
      </c>
      <c r="G19" s="5" t="s">
        <v>211</v>
      </c>
      <c r="H19" s="5"/>
      <c r="I19" s="5" t="s">
        <v>67</v>
      </c>
      <c r="J19" s="5"/>
      <c r="K19" s="5"/>
    </row>
    <row r="20" customFormat="false" ht="26.85" hidden="false" customHeight="false" outlineLevel="0" collapsed="false">
      <c r="A20" s="5" t="n">
        <v>12</v>
      </c>
      <c r="B20" s="5"/>
      <c r="C20" s="5"/>
      <c r="D20" s="5"/>
      <c r="E20" s="5"/>
      <c r="F20" s="31" t="s">
        <v>212</v>
      </c>
      <c r="G20" s="5" t="s">
        <v>213</v>
      </c>
      <c r="H20" s="5"/>
      <c r="I20" s="5" t="s">
        <v>67</v>
      </c>
      <c r="J20" s="5"/>
      <c r="K20" s="5"/>
    </row>
    <row r="21" customFormat="false" ht="15" hidden="false" customHeight="false" outlineLevel="0" collapsed="false">
      <c r="A21" s="5" t="n">
        <v>13</v>
      </c>
      <c r="B21" s="5"/>
      <c r="C21" s="5"/>
      <c r="D21" s="5"/>
      <c r="E21" s="5"/>
      <c r="F21" s="31" t="s">
        <v>212</v>
      </c>
      <c r="G21" s="5" t="s">
        <v>214</v>
      </c>
      <c r="H21" s="5"/>
      <c r="I21" s="5" t="s">
        <v>67</v>
      </c>
      <c r="J21" s="5"/>
      <c r="K21" s="5"/>
    </row>
    <row r="22" customFormat="false" ht="15" hidden="false" customHeight="false" outlineLevel="0" collapsed="false">
      <c r="A22" s="5" t="n">
        <v>14</v>
      </c>
      <c r="B22" s="5"/>
      <c r="C22" s="5"/>
      <c r="D22" s="5"/>
      <c r="E22" s="5"/>
      <c r="F22" s="31" t="s">
        <v>123</v>
      </c>
      <c r="G22" s="5" t="s">
        <v>215</v>
      </c>
      <c r="H22" s="5" t="s">
        <v>216</v>
      </c>
      <c r="I22" s="5" t="s">
        <v>67</v>
      </c>
      <c r="J22" s="5" t="s">
        <v>217</v>
      </c>
      <c r="K22" s="5"/>
    </row>
    <row r="23" customFormat="false" ht="15" hidden="false" customHeight="false" outlineLevel="0" collapsed="false">
      <c r="A23" s="5" t="n">
        <v>15</v>
      </c>
      <c r="B23" s="5"/>
      <c r="C23" s="5"/>
      <c r="D23" s="5"/>
      <c r="E23" s="5"/>
      <c r="F23" s="31" t="s">
        <v>123</v>
      </c>
      <c r="G23" s="5" t="s">
        <v>218</v>
      </c>
      <c r="H23" s="5" t="s">
        <v>219</v>
      </c>
      <c r="I23" s="5" t="s">
        <v>128</v>
      </c>
      <c r="J23" s="5" t="s">
        <v>217</v>
      </c>
      <c r="K23" s="5"/>
    </row>
    <row r="24" customFormat="false" ht="15" hidden="false" customHeight="false" outlineLevel="0" collapsed="false">
      <c r="A24" s="5" t="n">
        <v>16</v>
      </c>
      <c r="B24" s="5"/>
      <c r="C24" s="5"/>
      <c r="D24" s="5"/>
      <c r="E24" s="5"/>
      <c r="F24" s="31" t="s">
        <v>210</v>
      </c>
      <c r="G24" s="5" t="s">
        <v>220</v>
      </c>
      <c r="H24" s="5"/>
      <c r="I24" s="5" t="s">
        <v>67</v>
      </c>
      <c r="J24" s="5"/>
      <c r="K24" s="5"/>
    </row>
    <row r="25" customFormat="false" ht="26.85" hidden="false" customHeight="false" outlineLevel="0" collapsed="false">
      <c r="A25" s="5" t="n">
        <v>17</v>
      </c>
      <c r="B25" s="5"/>
      <c r="C25" s="5"/>
      <c r="D25" s="5"/>
      <c r="E25" s="5"/>
      <c r="F25" s="31" t="s">
        <v>210</v>
      </c>
      <c r="G25" s="5" t="s">
        <v>221</v>
      </c>
      <c r="H25" s="5"/>
      <c r="I25" s="5" t="s">
        <v>67</v>
      </c>
      <c r="J25" s="5"/>
      <c r="K25" s="5"/>
    </row>
    <row r="26" customFormat="false" ht="26.85" hidden="false" customHeight="false" outlineLevel="0" collapsed="false">
      <c r="A26" s="5" t="n">
        <v>18</v>
      </c>
      <c r="B26" s="5"/>
      <c r="C26" s="5"/>
      <c r="D26" s="5"/>
      <c r="E26" s="5"/>
      <c r="F26" s="31" t="s">
        <v>210</v>
      </c>
      <c r="G26" s="5" t="s">
        <v>222</v>
      </c>
      <c r="H26" s="5"/>
      <c r="I26" s="5" t="s">
        <v>67</v>
      </c>
      <c r="J26" s="5"/>
      <c r="K26" s="5"/>
    </row>
    <row r="27" customFormat="false" ht="15" hidden="false" customHeight="false" outlineLevel="0" collapsed="false">
      <c r="A27" s="5" t="n">
        <v>19</v>
      </c>
      <c r="B27" s="5"/>
      <c r="C27" s="5"/>
      <c r="D27" s="5"/>
      <c r="E27" s="5"/>
      <c r="F27" s="31" t="s">
        <v>212</v>
      </c>
      <c r="G27" s="5" t="s">
        <v>223</v>
      </c>
      <c r="H27" s="5"/>
      <c r="I27" s="5" t="s">
        <v>67</v>
      </c>
      <c r="J27" s="5"/>
      <c r="K27" s="5"/>
    </row>
    <row r="28" customFormat="false" ht="52.2" hidden="false" customHeight="false" outlineLevel="0" collapsed="false">
      <c r="A28" s="5" t="n">
        <v>20</v>
      </c>
      <c r="B28" s="5"/>
      <c r="C28" s="5"/>
      <c r="D28" s="5"/>
      <c r="E28" s="5"/>
      <c r="F28" s="31" t="s">
        <v>210</v>
      </c>
      <c r="G28" s="5" t="s">
        <v>224</v>
      </c>
      <c r="H28" s="5"/>
      <c r="I28" s="5" t="s">
        <v>67</v>
      </c>
      <c r="J28" s="5"/>
      <c r="K28" s="5"/>
    </row>
    <row r="29" customFormat="false" ht="39.55" hidden="false" customHeight="false" outlineLevel="0" collapsed="false">
      <c r="A29" s="11" t="n">
        <v>21</v>
      </c>
      <c r="B29" s="11"/>
      <c r="C29" s="11"/>
      <c r="D29" s="11"/>
      <c r="E29" s="11"/>
      <c r="F29" s="33" t="s">
        <v>239</v>
      </c>
      <c r="G29" s="11" t="s">
        <v>325</v>
      </c>
      <c r="H29" s="11" t="s">
        <v>326</v>
      </c>
      <c r="I29" s="11" t="s">
        <v>67</v>
      </c>
      <c r="J29" s="11" t="s">
        <v>242</v>
      </c>
      <c r="K29" s="11"/>
    </row>
    <row r="30" customFormat="false" ht="15" hidden="false" customHeight="false" outlineLevel="0" collapsed="false">
      <c r="A30" s="13" t="n">
        <v>22</v>
      </c>
      <c r="B30" s="13"/>
      <c r="C30" s="13"/>
      <c r="D30" s="13"/>
      <c r="E30" s="13"/>
      <c r="F30" s="39" t="s">
        <v>327</v>
      </c>
      <c r="G30" s="13" t="s">
        <v>376</v>
      </c>
      <c r="H30" s="13" t="s">
        <v>377</v>
      </c>
      <c r="I30" s="13" t="s">
        <v>128</v>
      </c>
      <c r="J30" s="13" t="s">
        <v>330</v>
      </c>
      <c r="K30" s="13"/>
    </row>
    <row r="31" customFormat="false" ht="26.85" hidden="false" customHeight="false" outlineLevel="0" collapsed="false">
      <c r="A31" s="10" t="n">
        <v>23</v>
      </c>
      <c r="B31" s="29" t="n">
        <f aca="false">B18+D18/1440</f>
        <v>0.590277777777778</v>
      </c>
      <c r="C31" s="29" t="n">
        <f aca="false">B31+D31/1440</f>
        <v>0.607638888888889</v>
      </c>
      <c r="D31" s="30" t="n">
        <v>25</v>
      </c>
      <c r="E31" s="10" t="s">
        <v>378</v>
      </c>
      <c r="F31" s="10" t="s">
        <v>172</v>
      </c>
      <c r="G31" s="10" t="s">
        <v>379</v>
      </c>
      <c r="H31" s="10"/>
      <c r="I31" s="10"/>
      <c r="J31" s="10" t="s">
        <v>209</v>
      </c>
      <c r="K31" s="10"/>
    </row>
    <row r="32" customFormat="false" ht="26.85" hidden="false" customHeight="false" outlineLevel="0" collapsed="false">
      <c r="A32" s="5" t="n">
        <v>24</v>
      </c>
      <c r="B32" s="5"/>
      <c r="C32" s="5"/>
      <c r="D32" s="5"/>
      <c r="E32" s="5"/>
      <c r="F32" s="31" t="s">
        <v>227</v>
      </c>
      <c r="G32" s="5" t="s">
        <v>380</v>
      </c>
      <c r="H32" s="5"/>
      <c r="I32" s="5" t="s">
        <v>67</v>
      </c>
      <c r="J32" s="5"/>
      <c r="K32" s="5"/>
    </row>
    <row r="33" customFormat="false" ht="15" hidden="false" customHeight="false" outlineLevel="0" collapsed="false">
      <c r="A33" s="12" t="n">
        <v>25</v>
      </c>
      <c r="B33" s="12"/>
      <c r="C33" s="12"/>
      <c r="D33" s="12"/>
      <c r="E33" s="12"/>
      <c r="F33" s="32" t="s">
        <v>229</v>
      </c>
      <c r="G33" s="12" t="s">
        <v>381</v>
      </c>
      <c r="H33" s="12"/>
      <c r="I33" s="12" t="s">
        <v>71</v>
      </c>
      <c r="J33" s="12" t="s">
        <v>231</v>
      </c>
      <c r="K33" s="12"/>
    </row>
    <row r="34" customFormat="false" ht="15" hidden="false" customHeight="false" outlineLevel="0" collapsed="false">
      <c r="A34" s="5" t="n">
        <v>26</v>
      </c>
      <c r="B34" s="5"/>
      <c r="C34" s="5"/>
      <c r="D34" s="5"/>
      <c r="E34" s="5"/>
      <c r="F34" s="31" t="s">
        <v>227</v>
      </c>
      <c r="G34" s="5" t="s">
        <v>382</v>
      </c>
      <c r="H34" s="5"/>
      <c r="I34" s="5" t="s">
        <v>67</v>
      </c>
      <c r="J34" s="5"/>
      <c r="K34" s="5"/>
    </row>
    <row r="35" customFormat="false" ht="15" hidden="false" customHeight="false" outlineLevel="0" collapsed="false">
      <c r="A35" s="5" t="n">
        <v>27</v>
      </c>
      <c r="B35" s="5"/>
      <c r="C35" s="5"/>
      <c r="D35" s="5"/>
      <c r="E35" s="5"/>
      <c r="F35" s="31" t="s">
        <v>227</v>
      </c>
      <c r="G35" s="5" t="s">
        <v>383</v>
      </c>
      <c r="H35" s="5"/>
      <c r="I35" s="5" t="s">
        <v>67</v>
      </c>
      <c r="J35" s="5"/>
      <c r="K35" s="5"/>
    </row>
    <row r="36" customFormat="false" ht="26.85" hidden="false" customHeight="false" outlineLevel="0" collapsed="false">
      <c r="A36" s="5" t="n">
        <v>28</v>
      </c>
      <c r="B36" s="5"/>
      <c r="C36" s="5"/>
      <c r="D36" s="5"/>
      <c r="E36" s="5"/>
      <c r="F36" s="31" t="s">
        <v>227</v>
      </c>
      <c r="G36" s="5" t="s">
        <v>384</v>
      </c>
      <c r="H36" s="5"/>
      <c r="I36" s="5" t="s">
        <v>67</v>
      </c>
      <c r="J36" s="5"/>
      <c r="K36" s="5"/>
    </row>
    <row r="37" customFormat="false" ht="26.85" hidden="false" customHeight="false" outlineLevel="0" collapsed="false">
      <c r="A37" s="10" t="n">
        <v>29</v>
      </c>
      <c r="B37" s="29" t="n">
        <f aca="false">B31+D31/1440</f>
        <v>0.607638888888889</v>
      </c>
      <c r="C37" s="29" t="n">
        <f aca="false">B37+D37/1440</f>
        <v>0.618055555555556</v>
      </c>
      <c r="D37" s="30" t="n">
        <v>15</v>
      </c>
      <c r="E37" s="10" t="s">
        <v>385</v>
      </c>
      <c r="F37" s="10" t="s">
        <v>172</v>
      </c>
      <c r="G37" s="10" t="s">
        <v>386</v>
      </c>
      <c r="H37" s="10"/>
      <c r="I37" s="10"/>
      <c r="J37" s="10" t="s">
        <v>209</v>
      </c>
      <c r="K37" s="10"/>
    </row>
    <row r="38" customFormat="false" ht="26.85" hidden="false" customHeight="false" outlineLevel="0" collapsed="false">
      <c r="A38" s="5" t="n">
        <v>30</v>
      </c>
      <c r="B38" s="5"/>
      <c r="C38" s="5"/>
      <c r="D38" s="5"/>
      <c r="E38" s="5"/>
      <c r="F38" s="31" t="s">
        <v>227</v>
      </c>
      <c r="G38" s="5" t="s">
        <v>387</v>
      </c>
      <c r="H38" s="5"/>
      <c r="I38" s="5" t="s">
        <v>67</v>
      </c>
      <c r="J38" s="5"/>
      <c r="K38" s="5"/>
    </row>
    <row r="39" customFormat="false" ht="15" hidden="false" customHeight="false" outlineLevel="0" collapsed="false">
      <c r="A39" s="12" t="n">
        <v>31</v>
      </c>
      <c r="B39" s="12"/>
      <c r="C39" s="12"/>
      <c r="D39" s="12"/>
      <c r="E39" s="12"/>
      <c r="F39" s="32" t="s">
        <v>229</v>
      </c>
      <c r="G39" s="12" t="s">
        <v>388</v>
      </c>
      <c r="H39" s="12"/>
      <c r="I39" s="12" t="s">
        <v>71</v>
      </c>
      <c r="J39" s="12" t="s">
        <v>231</v>
      </c>
      <c r="K39" s="12"/>
    </row>
    <row r="40" customFormat="false" ht="15" hidden="false" customHeight="false" outlineLevel="0" collapsed="false">
      <c r="A40" s="5" t="n">
        <v>32</v>
      </c>
      <c r="B40" s="5"/>
      <c r="C40" s="5"/>
      <c r="D40" s="5"/>
      <c r="E40" s="5"/>
      <c r="F40" s="31" t="s">
        <v>227</v>
      </c>
      <c r="G40" s="5" t="s">
        <v>389</v>
      </c>
      <c r="H40" s="5"/>
      <c r="I40" s="5" t="s">
        <v>67</v>
      </c>
      <c r="J40" s="5"/>
      <c r="K40" s="5"/>
    </row>
    <row r="41" customFormat="false" ht="15" hidden="false" customHeight="false" outlineLevel="0" collapsed="false">
      <c r="A41" s="5" t="n">
        <v>33</v>
      </c>
      <c r="B41" s="5"/>
      <c r="C41" s="5"/>
      <c r="D41" s="5"/>
      <c r="E41" s="5"/>
      <c r="F41" s="31" t="s">
        <v>227</v>
      </c>
      <c r="G41" s="5" t="s">
        <v>390</v>
      </c>
      <c r="H41" s="5"/>
      <c r="I41" s="5" t="s">
        <v>67</v>
      </c>
      <c r="J41" s="5"/>
      <c r="K41" s="5"/>
    </row>
    <row r="42" customFormat="false" ht="26.85" hidden="false" customHeight="false" outlineLevel="0" collapsed="false">
      <c r="A42" s="10" t="n">
        <v>34</v>
      </c>
      <c r="B42" s="29" t="n">
        <f aca="false">B37+D37/1440</f>
        <v>0.618055555555556</v>
      </c>
      <c r="C42" s="29" t="n">
        <f aca="false">B42+D42/1440</f>
        <v>0.628472222222222</v>
      </c>
      <c r="D42" s="30" t="n">
        <v>15</v>
      </c>
      <c r="E42" s="10" t="s">
        <v>391</v>
      </c>
      <c r="F42" s="10" t="s">
        <v>172</v>
      </c>
      <c r="G42" s="10" t="s">
        <v>392</v>
      </c>
      <c r="H42" s="10"/>
      <c r="I42" s="10"/>
      <c r="J42" s="10" t="s">
        <v>209</v>
      </c>
      <c r="K42" s="10"/>
    </row>
    <row r="43" customFormat="false" ht="15" hidden="false" customHeight="false" outlineLevel="0" collapsed="false">
      <c r="A43" s="5" t="n">
        <v>35</v>
      </c>
      <c r="B43" s="5"/>
      <c r="C43" s="5"/>
      <c r="D43" s="5"/>
      <c r="E43" s="5"/>
      <c r="F43" s="31" t="s">
        <v>227</v>
      </c>
      <c r="G43" s="5" t="s">
        <v>393</v>
      </c>
      <c r="H43" s="5"/>
      <c r="I43" s="5" t="s">
        <v>67</v>
      </c>
      <c r="J43" s="5"/>
      <c r="K43" s="5"/>
    </row>
    <row r="44" customFormat="false" ht="15" hidden="false" customHeight="false" outlineLevel="0" collapsed="false">
      <c r="A44" s="5" t="n">
        <v>36</v>
      </c>
      <c r="B44" s="5"/>
      <c r="C44" s="5"/>
      <c r="D44" s="5"/>
      <c r="E44" s="5"/>
      <c r="F44" s="31" t="s">
        <v>227</v>
      </c>
      <c r="G44" s="5" t="s">
        <v>394</v>
      </c>
      <c r="H44" s="5"/>
      <c r="I44" s="5" t="s">
        <v>67</v>
      </c>
      <c r="J44" s="5"/>
      <c r="K44" s="5"/>
    </row>
    <row r="45" customFormat="false" ht="26.85" hidden="false" customHeight="false" outlineLevel="0" collapsed="false">
      <c r="A45" s="10" t="n">
        <v>37</v>
      </c>
      <c r="B45" s="29" t="n">
        <f aca="false">B42+D42/1440</f>
        <v>0.628472222222222</v>
      </c>
      <c r="C45" s="29" t="n">
        <f aca="false">B45+D45/1440</f>
        <v>0.638888888888889</v>
      </c>
      <c r="D45" s="30" t="n">
        <v>15</v>
      </c>
      <c r="E45" s="10" t="s">
        <v>395</v>
      </c>
      <c r="F45" s="10" t="s">
        <v>172</v>
      </c>
      <c r="G45" s="10" t="s">
        <v>396</v>
      </c>
      <c r="H45" s="10"/>
      <c r="I45" s="10"/>
      <c r="J45" s="10" t="s">
        <v>209</v>
      </c>
      <c r="K45" s="10"/>
    </row>
    <row r="46" customFormat="false" ht="26.85" hidden="false" customHeight="false" outlineLevel="0" collapsed="false">
      <c r="A46" s="5" t="n">
        <v>38</v>
      </c>
      <c r="B46" s="5"/>
      <c r="C46" s="5"/>
      <c r="D46" s="5"/>
      <c r="E46" s="5"/>
      <c r="F46" s="31" t="s">
        <v>227</v>
      </c>
      <c r="G46" s="5" t="s">
        <v>397</v>
      </c>
      <c r="H46" s="5"/>
      <c r="I46" s="5" t="s">
        <v>67</v>
      </c>
      <c r="J46" s="5"/>
      <c r="K46" s="5"/>
    </row>
    <row r="47" customFormat="false" ht="15" hidden="false" customHeight="false" outlineLevel="0" collapsed="false">
      <c r="A47" s="12" t="n">
        <v>39</v>
      </c>
      <c r="B47" s="12"/>
      <c r="C47" s="12"/>
      <c r="D47" s="12"/>
      <c r="E47" s="12"/>
      <c r="F47" s="32" t="s">
        <v>229</v>
      </c>
      <c r="G47" s="12" t="s">
        <v>398</v>
      </c>
      <c r="H47" s="12"/>
      <c r="I47" s="12" t="s">
        <v>71</v>
      </c>
      <c r="J47" s="12" t="s">
        <v>231</v>
      </c>
      <c r="K47" s="12"/>
    </row>
    <row r="48" customFormat="false" ht="15" hidden="false" customHeight="false" outlineLevel="0" collapsed="false">
      <c r="A48" s="5" t="n">
        <v>40</v>
      </c>
      <c r="B48" s="5"/>
      <c r="C48" s="5"/>
      <c r="D48" s="5"/>
      <c r="E48" s="5"/>
      <c r="F48" s="31" t="s">
        <v>227</v>
      </c>
      <c r="G48" s="5" t="s">
        <v>399</v>
      </c>
      <c r="H48" s="5"/>
      <c r="I48" s="5" t="s">
        <v>67</v>
      </c>
      <c r="J48" s="5"/>
      <c r="K48" s="5"/>
    </row>
    <row r="49" customFormat="false" ht="15" hidden="false" customHeight="false" outlineLevel="0" collapsed="false">
      <c r="A49" s="5" t="n">
        <v>41</v>
      </c>
      <c r="B49" s="5"/>
      <c r="C49" s="5"/>
      <c r="D49" s="5"/>
      <c r="E49" s="5"/>
      <c r="F49" s="31" t="s">
        <v>227</v>
      </c>
      <c r="G49" s="5" t="s">
        <v>400</v>
      </c>
      <c r="H49" s="5"/>
      <c r="I49" s="5" t="s">
        <v>67</v>
      </c>
      <c r="J49" s="5"/>
      <c r="K49" s="5"/>
    </row>
    <row r="50" customFormat="false" ht="26.85" hidden="false" customHeight="false" outlineLevel="0" collapsed="false">
      <c r="A50" s="10" t="n">
        <v>42</v>
      </c>
      <c r="B50" s="29" t="n">
        <f aca="false">B45+D45/1440</f>
        <v>0.638888888888889</v>
      </c>
      <c r="C50" s="29" t="n">
        <f aca="false">B50+D50/1440</f>
        <v>0.645833333333333</v>
      </c>
      <c r="D50" s="30" t="n">
        <v>10</v>
      </c>
      <c r="E50" s="10" t="s">
        <v>276</v>
      </c>
      <c r="F50" s="10" t="s">
        <v>172</v>
      </c>
      <c r="G50" s="10" t="s">
        <v>277</v>
      </c>
      <c r="H50" s="10"/>
      <c r="I50" s="10"/>
      <c r="J50" s="10" t="s">
        <v>209</v>
      </c>
      <c r="K50" s="10"/>
    </row>
    <row r="51" customFormat="false" ht="39.55" hidden="false" customHeight="false" outlineLevel="0" collapsed="false">
      <c r="A51" s="5" t="n">
        <v>43</v>
      </c>
      <c r="B51" s="5"/>
      <c r="C51" s="5"/>
      <c r="D51" s="5"/>
      <c r="E51" s="5"/>
      <c r="F51" s="31" t="s">
        <v>227</v>
      </c>
      <c r="G51" s="5" t="s">
        <v>401</v>
      </c>
      <c r="H51" s="5"/>
      <c r="I51" s="5" t="s">
        <v>67</v>
      </c>
      <c r="J51" s="5"/>
      <c r="K51" s="5"/>
    </row>
    <row r="52" customFormat="false" ht="15" hidden="false" customHeight="false" outlineLevel="0" collapsed="false">
      <c r="A52" s="12" t="n">
        <v>44</v>
      </c>
      <c r="B52" s="12"/>
      <c r="C52" s="12"/>
      <c r="D52" s="12"/>
      <c r="E52" s="12"/>
      <c r="F52" s="32" t="s">
        <v>229</v>
      </c>
      <c r="G52" s="12" t="s">
        <v>402</v>
      </c>
      <c r="H52" s="12"/>
      <c r="I52" s="12" t="s">
        <v>71</v>
      </c>
      <c r="J52" s="12" t="s">
        <v>231</v>
      </c>
      <c r="K52" s="12"/>
    </row>
    <row r="53" customFormat="false" ht="47.75" hidden="false" customHeight="false" outlineLevel="0" collapsed="false">
      <c r="A53" s="11" t="n">
        <v>45</v>
      </c>
      <c r="B53" s="11"/>
      <c r="C53" s="11"/>
      <c r="D53" s="11"/>
      <c r="E53" s="11"/>
      <c r="F53" s="33" t="s">
        <v>239</v>
      </c>
      <c r="G53" s="11" t="s">
        <v>282</v>
      </c>
      <c r="H53" s="11" t="s">
        <v>283</v>
      </c>
      <c r="I53" s="11" t="s">
        <v>75</v>
      </c>
      <c r="J53" s="11" t="s">
        <v>242</v>
      </c>
      <c r="K53" s="11"/>
    </row>
    <row r="54" customFormat="false" ht="26.85" hidden="false" customHeight="false" outlineLevel="0" collapsed="false">
      <c r="A54" s="5" t="n">
        <v>46</v>
      </c>
      <c r="B54" s="5"/>
      <c r="C54" s="5"/>
      <c r="D54" s="5"/>
      <c r="E54" s="5"/>
      <c r="F54" s="31" t="s">
        <v>227</v>
      </c>
      <c r="G54" s="5" t="s">
        <v>403</v>
      </c>
      <c r="H54" s="5"/>
      <c r="I54" s="5" t="s">
        <v>67</v>
      </c>
      <c r="J54" s="5"/>
      <c r="K54" s="5"/>
    </row>
    <row r="55" customFormat="false" ht="26.85" hidden="false" customHeight="false" outlineLevel="0" collapsed="false">
      <c r="A55" s="5" t="n">
        <v>47</v>
      </c>
      <c r="B55" s="5"/>
      <c r="C55" s="5"/>
      <c r="D55" s="5"/>
      <c r="E55" s="5"/>
      <c r="F55" s="31" t="s">
        <v>227</v>
      </c>
      <c r="G55" s="5" t="s">
        <v>404</v>
      </c>
      <c r="H55" s="5"/>
      <c r="I55" s="5" t="s">
        <v>67</v>
      </c>
      <c r="J55" s="5"/>
      <c r="K55" s="5"/>
    </row>
    <row r="56" customFormat="false" ht="26.85" hidden="false" customHeight="false" outlineLevel="0" collapsed="false">
      <c r="A56" s="5" t="n">
        <v>48</v>
      </c>
      <c r="B56" s="5"/>
      <c r="C56" s="5"/>
      <c r="D56" s="5"/>
      <c r="E56" s="5"/>
      <c r="F56" s="31" t="s">
        <v>227</v>
      </c>
      <c r="G56" s="5" t="s">
        <v>405</v>
      </c>
      <c r="H56" s="5"/>
      <c r="I56" s="5" t="s">
        <v>67</v>
      </c>
      <c r="J56" s="5"/>
      <c r="K56" s="5"/>
    </row>
    <row r="57" customFormat="false" ht="26.85" hidden="false" customHeight="false" outlineLevel="0" collapsed="false">
      <c r="A57" s="10" t="n">
        <v>49</v>
      </c>
      <c r="B57" s="29" t="n">
        <f aca="false">B50+D50/1440</f>
        <v>0.645833333333333</v>
      </c>
      <c r="C57" s="29" t="n">
        <f aca="false">B57+D57/1440</f>
        <v>0.659722222222222</v>
      </c>
      <c r="D57" s="30" t="n">
        <v>20</v>
      </c>
      <c r="E57" s="10" t="s">
        <v>406</v>
      </c>
      <c r="F57" s="10" t="s">
        <v>172</v>
      </c>
      <c r="G57" s="10" t="s">
        <v>407</v>
      </c>
      <c r="H57" s="10"/>
      <c r="I57" s="10"/>
      <c r="J57" s="10" t="s">
        <v>209</v>
      </c>
      <c r="K57" s="10"/>
    </row>
    <row r="58" customFormat="false" ht="26.85" hidden="false" customHeight="false" outlineLevel="0" collapsed="false">
      <c r="A58" s="5" t="n">
        <v>50</v>
      </c>
      <c r="B58" s="5"/>
      <c r="C58" s="5"/>
      <c r="D58" s="5"/>
      <c r="E58" s="5"/>
      <c r="F58" s="31" t="s">
        <v>227</v>
      </c>
      <c r="G58" s="5" t="s">
        <v>408</v>
      </c>
      <c r="H58" s="5"/>
      <c r="I58" s="5" t="s">
        <v>67</v>
      </c>
      <c r="J58" s="5"/>
      <c r="K58" s="5"/>
    </row>
    <row r="59" customFormat="false" ht="15" hidden="false" customHeight="false" outlineLevel="0" collapsed="false">
      <c r="A59" s="12" t="n">
        <v>51</v>
      </c>
      <c r="B59" s="12"/>
      <c r="C59" s="12"/>
      <c r="D59" s="12"/>
      <c r="E59" s="12"/>
      <c r="F59" s="32" t="s">
        <v>229</v>
      </c>
      <c r="G59" s="12" t="s">
        <v>409</v>
      </c>
      <c r="H59" s="12"/>
      <c r="I59" s="12" t="s">
        <v>71</v>
      </c>
      <c r="J59" s="12" t="s">
        <v>231</v>
      </c>
      <c r="K59" s="12"/>
    </row>
    <row r="60" customFormat="false" ht="15" hidden="false" customHeight="false" outlineLevel="0" collapsed="false">
      <c r="A60" s="5" t="n">
        <v>52</v>
      </c>
      <c r="B60" s="5"/>
      <c r="C60" s="5"/>
      <c r="D60" s="5"/>
      <c r="E60" s="5"/>
      <c r="F60" s="31" t="s">
        <v>227</v>
      </c>
      <c r="G60" s="5" t="s">
        <v>410</v>
      </c>
      <c r="H60" s="5"/>
      <c r="I60" s="5" t="s">
        <v>67</v>
      </c>
      <c r="J60" s="5"/>
      <c r="K60" s="5"/>
    </row>
    <row r="61" customFormat="false" ht="26.85" hidden="false" customHeight="false" outlineLevel="0" collapsed="false">
      <c r="A61" s="5" t="n">
        <v>53</v>
      </c>
      <c r="B61" s="5"/>
      <c r="C61" s="5"/>
      <c r="D61" s="5"/>
      <c r="E61" s="5"/>
      <c r="F61" s="31" t="s">
        <v>227</v>
      </c>
      <c r="G61" s="5" t="s">
        <v>411</v>
      </c>
      <c r="H61" s="5"/>
      <c r="I61" s="5" t="s">
        <v>67</v>
      </c>
      <c r="J61" s="5"/>
      <c r="K61" s="5"/>
    </row>
    <row r="62" customFormat="false" ht="15" hidden="false" customHeight="false" outlineLevel="0" collapsed="false">
      <c r="A62" s="12" t="n">
        <v>54</v>
      </c>
      <c r="B62" s="12"/>
      <c r="C62" s="12"/>
      <c r="D62" s="12"/>
      <c r="E62" s="12"/>
      <c r="F62" s="32" t="s">
        <v>229</v>
      </c>
      <c r="G62" s="12" t="s">
        <v>412</v>
      </c>
      <c r="H62" s="12"/>
      <c r="I62" s="12" t="s">
        <v>71</v>
      </c>
      <c r="J62" s="12" t="s">
        <v>231</v>
      </c>
      <c r="K62" s="12"/>
    </row>
    <row r="63" customFormat="false" ht="15" hidden="false" customHeight="false" outlineLevel="0" collapsed="false">
      <c r="A63" s="5" t="n">
        <v>55</v>
      </c>
      <c r="B63" s="5"/>
      <c r="C63" s="5"/>
      <c r="D63" s="5"/>
      <c r="E63" s="5"/>
      <c r="F63" s="31" t="s">
        <v>227</v>
      </c>
      <c r="G63" s="5" t="s">
        <v>413</v>
      </c>
      <c r="H63" s="5"/>
      <c r="I63" s="5" t="s">
        <v>67</v>
      </c>
      <c r="J63" s="5"/>
      <c r="K63" s="5"/>
    </row>
    <row r="64" customFormat="false" ht="15" hidden="false" customHeight="false" outlineLevel="0" collapsed="false">
      <c r="A64" s="5" t="n">
        <v>56</v>
      </c>
      <c r="B64" s="5"/>
      <c r="C64" s="5"/>
      <c r="D64" s="5"/>
      <c r="E64" s="5"/>
      <c r="F64" s="31" t="s">
        <v>227</v>
      </c>
      <c r="G64" s="5" t="s">
        <v>414</v>
      </c>
      <c r="H64" s="5"/>
      <c r="I64" s="5" t="s">
        <v>67</v>
      </c>
      <c r="J64" s="5"/>
      <c r="K64" s="5"/>
    </row>
    <row r="65" customFormat="false" ht="15" hidden="false" customHeight="false" outlineLevel="0" collapsed="false">
      <c r="A65" s="5" t="n">
        <v>57</v>
      </c>
      <c r="B65" s="5"/>
      <c r="C65" s="5"/>
      <c r="D65" s="5"/>
      <c r="E65" s="5"/>
      <c r="F65" s="31" t="s">
        <v>227</v>
      </c>
      <c r="G65" s="5" t="s">
        <v>415</v>
      </c>
      <c r="H65" s="5"/>
      <c r="I65" s="5" t="s">
        <v>67</v>
      </c>
      <c r="J65" s="5"/>
      <c r="K65" s="5"/>
    </row>
    <row r="66" customFormat="false" ht="26.85" hidden="false" customHeight="false" outlineLevel="0" collapsed="false">
      <c r="A66" s="10" t="n">
        <v>58</v>
      </c>
      <c r="B66" s="29" t="n">
        <f aca="false">B57+D57/1440</f>
        <v>0.659722222222222</v>
      </c>
      <c r="C66" s="29" t="n">
        <f aca="false">B66+D66/1440</f>
        <v>0.666666666666667</v>
      </c>
      <c r="D66" s="30" t="n">
        <v>10</v>
      </c>
      <c r="E66" s="10" t="s">
        <v>299</v>
      </c>
      <c r="F66" s="10" t="s">
        <v>172</v>
      </c>
      <c r="G66" s="10" t="s">
        <v>300</v>
      </c>
      <c r="H66" s="10"/>
      <c r="I66" s="10"/>
      <c r="J66" s="10" t="s">
        <v>209</v>
      </c>
      <c r="K66" s="10"/>
    </row>
    <row r="67" customFormat="false" ht="15" hidden="false" customHeight="false" outlineLevel="0" collapsed="false">
      <c r="A67" s="5" t="n">
        <v>59</v>
      </c>
      <c r="B67" s="5"/>
      <c r="C67" s="5"/>
      <c r="D67" s="5"/>
      <c r="E67" s="5"/>
      <c r="F67" s="31" t="s">
        <v>227</v>
      </c>
      <c r="G67" s="5" t="s">
        <v>301</v>
      </c>
      <c r="H67" s="5"/>
      <c r="I67" s="5" t="s">
        <v>67</v>
      </c>
      <c r="J67" s="5"/>
      <c r="K67" s="5"/>
    </row>
    <row r="68" customFormat="false" ht="26.85" hidden="false" customHeight="false" outlineLevel="0" collapsed="false">
      <c r="A68" s="5" t="n">
        <v>60</v>
      </c>
      <c r="B68" s="5"/>
      <c r="C68" s="5"/>
      <c r="D68" s="5"/>
      <c r="E68" s="5"/>
      <c r="F68" s="31" t="s">
        <v>210</v>
      </c>
      <c r="G68" s="6" t="s">
        <v>302</v>
      </c>
      <c r="H68" s="5" t="s">
        <v>303</v>
      </c>
      <c r="I68" s="5" t="s">
        <v>67</v>
      </c>
      <c r="J68" s="5"/>
      <c r="K68" s="5"/>
    </row>
    <row r="69" customFormat="false" ht="15" hidden="false" customHeight="false" outlineLevel="0" collapsed="false">
      <c r="A69" s="5" t="n">
        <v>61</v>
      </c>
      <c r="B69" s="5"/>
      <c r="C69" s="5"/>
      <c r="D69" s="5"/>
      <c r="E69" s="5"/>
      <c r="F69" s="31" t="s">
        <v>210</v>
      </c>
      <c r="G69" s="5" t="s">
        <v>304</v>
      </c>
      <c r="H69" s="5" t="s">
        <v>305</v>
      </c>
      <c r="I69" s="5" t="s">
        <v>67</v>
      </c>
      <c r="J69" s="5"/>
      <c r="K69" s="5"/>
    </row>
    <row r="70" customFormat="false" ht="26.85" hidden="false" customHeight="false" outlineLevel="0" collapsed="false">
      <c r="A70" s="14" t="n">
        <v>62</v>
      </c>
      <c r="B70" s="35" t="n">
        <f aca="false">C66</f>
        <v>0.666666666666667</v>
      </c>
      <c r="C70" s="14"/>
      <c r="D70" s="36" t="s">
        <v>170</v>
      </c>
      <c r="E70" s="14" t="s">
        <v>306</v>
      </c>
      <c r="F70" s="14" t="s">
        <v>170</v>
      </c>
      <c r="G70" s="14" t="s">
        <v>307</v>
      </c>
      <c r="H70" s="14"/>
      <c r="I70" s="14" t="s">
        <v>206</v>
      </c>
      <c r="J70" s="14"/>
      <c r="K70" s="14"/>
    </row>
    <row r="71" customFormat="false" ht="26.85" hidden="false" customHeight="false" outlineLevel="0" collapsed="false">
      <c r="A71" s="14" t="n">
        <v>63</v>
      </c>
      <c r="B71" s="35" t="n">
        <f aca="false">C66+5/1440</f>
        <v>0.670138888888889</v>
      </c>
      <c r="C71" s="14"/>
      <c r="D71" s="36" t="s">
        <v>308</v>
      </c>
      <c r="E71" s="14" t="s">
        <v>306</v>
      </c>
      <c r="F71" s="14" t="s">
        <v>309</v>
      </c>
      <c r="G71" s="37" t="s">
        <v>310</v>
      </c>
      <c r="H71" s="14"/>
      <c r="I71" s="37" t="s">
        <v>311</v>
      </c>
      <c r="J71" s="14"/>
      <c r="K71" s="14"/>
    </row>
    <row r="72" customFormat="false" ht="26.85" hidden="false" customHeight="false" outlineLevel="0" collapsed="false">
      <c r="A72" s="14" t="n">
        <v>64</v>
      </c>
      <c r="B72" s="35" t="n">
        <f aca="false">C66+30/1440</f>
        <v>0.6875</v>
      </c>
      <c r="C72" s="14"/>
      <c r="D72" s="36" t="s">
        <v>312</v>
      </c>
      <c r="E72" s="14" t="s">
        <v>306</v>
      </c>
      <c r="F72" s="14" t="s">
        <v>313</v>
      </c>
      <c r="G72" s="14" t="s">
        <v>314</v>
      </c>
      <c r="H72" s="14"/>
      <c r="I72" s="14" t="s">
        <v>315</v>
      </c>
      <c r="J72" s="14"/>
      <c r="K72" s="14"/>
    </row>
    <row r="74" customFormat="false" ht="15" hidden="false" customHeight="false" outlineLevel="0" collapsed="false">
      <c r="E74" s="23" t="s">
        <v>316</v>
      </c>
      <c r="F74" s="23" t="n">
        <f aca="false">SUMIF(F9:F72,"파트",D9:D72)</f>
        <v>120</v>
      </c>
      <c r="G74" s="23" t="str">
        <f aca="false">IF(F74=120,"OK — 120분","확인 필요: 파트 합이 120분이 아님")</f>
        <v>OK — 120분</v>
      </c>
    </row>
    <row r="75" customFormat="false" ht="15" hidden="false" customHeight="false" outlineLevel="0" collapsed="false">
      <c r="E75" s="23" t="s">
        <v>317</v>
      </c>
      <c r="F75" s="38" t="n">
        <f aca="false">C66</f>
        <v>0.666666666666667</v>
      </c>
    </row>
    <row r="77" customFormat="false" ht="15" hidden="false" customHeight="false" outlineLevel="0" collapsed="false">
      <c r="A77" s="2" t="s">
        <v>318</v>
      </c>
    </row>
    <row r="78" customFormat="false" ht="15" hidden="false" customHeight="false" outlineLevel="0" collapsed="false">
      <c r="A78" s="2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7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22"/>
  </cols>
  <sheetData>
    <row r="1" customFormat="false" ht="19.4" hidden="false" customHeight="false" outlineLevel="0" collapsed="false">
      <c r="A1" s="1" t="s">
        <v>416</v>
      </c>
    </row>
    <row r="2" customFormat="false" ht="15" hidden="false" customHeight="false" outlineLevel="0" collapsed="false">
      <c r="A2" s="21" t="s">
        <v>417</v>
      </c>
    </row>
    <row r="3" customFormat="false" ht="15" hidden="false" customHeight="false" outlineLevel="0" collapsed="false">
      <c r="A3" s="22" t="s">
        <v>418</v>
      </c>
    </row>
    <row r="4" customFormat="false" ht="15" hidden="false" customHeight="false" outlineLevel="0" collapsed="false">
      <c r="A4" s="23" t="s">
        <v>161</v>
      </c>
      <c r="C4" s="24" t="s">
        <v>162</v>
      </c>
      <c r="D4" s="2" t="s">
        <v>163</v>
      </c>
    </row>
    <row r="5" customFormat="false" ht="15" hidden="false" customHeight="false" outlineLevel="0" collapsed="false">
      <c r="A5" s="23" t="s">
        <v>164</v>
      </c>
      <c r="C5" s="22" t="s">
        <v>165</v>
      </c>
    </row>
    <row r="6" customFormat="false" ht="15" hidden="false" customHeight="false" outlineLevel="0" collapsed="false">
      <c r="A6" s="23" t="s">
        <v>166</v>
      </c>
      <c r="C6" s="22" t="s">
        <v>419</v>
      </c>
    </row>
    <row r="8" customFormat="false" ht="15" hidden="false" customHeight="false" outlineLevel="0" collapsed="false">
      <c r="A8" s="25" t="s">
        <v>168</v>
      </c>
      <c r="B8" s="4" t="s">
        <v>169</v>
      </c>
      <c r="C8" s="4" t="s">
        <v>170</v>
      </c>
      <c r="D8" s="4" t="s">
        <v>171</v>
      </c>
      <c r="E8" s="4" t="s">
        <v>172</v>
      </c>
      <c r="F8" s="4" t="s">
        <v>173</v>
      </c>
      <c r="G8" s="4" t="s">
        <v>174</v>
      </c>
      <c r="H8" s="4" t="s">
        <v>175</v>
      </c>
      <c r="I8" s="4" t="s">
        <v>122</v>
      </c>
      <c r="J8" s="4" t="s">
        <v>176</v>
      </c>
      <c r="K8" s="4" t="s">
        <v>177</v>
      </c>
    </row>
    <row r="9" customFormat="false" ht="15" hidden="false" customHeight="false" outlineLevel="0" collapsed="false">
      <c r="A9" s="9" t="n">
        <v>1</v>
      </c>
      <c r="B9" s="26" t="n">
        <f aca="false">$C$4-180/1440</f>
        <v>0.458333333333333</v>
      </c>
      <c r="C9" s="9"/>
      <c r="D9" s="27" t="s">
        <v>178</v>
      </c>
      <c r="E9" s="9" t="s">
        <v>179</v>
      </c>
      <c r="F9" s="9" t="s">
        <v>180</v>
      </c>
      <c r="G9" s="9" t="s">
        <v>181</v>
      </c>
      <c r="H9" s="9"/>
      <c r="I9" s="9" t="s">
        <v>128</v>
      </c>
      <c r="J9" s="9"/>
      <c r="K9" s="9"/>
    </row>
    <row r="10" customFormat="false" ht="15" hidden="false" customHeight="false" outlineLevel="0" collapsed="false">
      <c r="A10" s="9" t="n">
        <v>2</v>
      </c>
      <c r="B10" s="26" t="n">
        <f aca="false">$C$4-90/1440</f>
        <v>0.520833333333333</v>
      </c>
      <c r="C10" s="9"/>
      <c r="D10" s="27" t="s">
        <v>182</v>
      </c>
      <c r="E10" s="9" t="s">
        <v>179</v>
      </c>
      <c r="F10" s="9" t="s">
        <v>183</v>
      </c>
      <c r="G10" s="9" t="s">
        <v>184</v>
      </c>
      <c r="H10" s="9"/>
      <c r="I10" s="9" t="s">
        <v>185</v>
      </c>
      <c r="J10" s="9"/>
      <c r="K10" s="9"/>
    </row>
    <row r="11" customFormat="false" ht="15" hidden="false" customHeight="false" outlineLevel="0" collapsed="false">
      <c r="A11" s="9" t="n">
        <v>3</v>
      </c>
      <c r="B11" s="26" t="n">
        <f aca="false">$C$4-80/1440</f>
        <v>0.527777777777778</v>
      </c>
      <c r="C11" s="9"/>
      <c r="D11" s="27" t="s">
        <v>186</v>
      </c>
      <c r="E11" s="9" t="s">
        <v>179</v>
      </c>
      <c r="F11" s="9" t="s">
        <v>187</v>
      </c>
      <c r="G11" s="9" t="s">
        <v>188</v>
      </c>
      <c r="H11" s="9"/>
      <c r="I11" s="28" t="s">
        <v>130</v>
      </c>
      <c r="J11" s="9"/>
      <c r="K11" s="9"/>
    </row>
    <row r="12" customFormat="false" ht="26.85" hidden="false" customHeight="false" outlineLevel="0" collapsed="false">
      <c r="A12" s="9" t="n">
        <v>4</v>
      </c>
      <c r="B12" s="26" t="n">
        <f aca="false">$C$4-60/1440</f>
        <v>0.541666666666667</v>
      </c>
      <c r="C12" s="9"/>
      <c r="D12" s="27" t="s">
        <v>189</v>
      </c>
      <c r="E12" s="9" t="s">
        <v>179</v>
      </c>
      <c r="F12" s="9" t="s">
        <v>190</v>
      </c>
      <c r="G12" s="9" t="s">
        <v>191</v>
      </c>
      <c r="H12" s="9"/>
      <c r="I12" s="9" t="s">
        <v>128</v>
      </c>
      <c r="J12" s="9"/>
      <c r="K12" s="9"/>
    </row>
    <row r="13" customFormat="false" ht="26.85" hidden="false" customHeight="false" outlineLevel="0" collapsed="false">
      <c r="A13" s="9" t="n">
        <v>5</v>
      </c>
      <c r="B13" s="26" t="n">
        <f aca="false">$C$4-45/1440</f>
        <v>0.552083333333333</v>
      </c>
      <c r="C13" s="9"/>
      <c r="D13" s="27" t="s">
        <v>192</v>
      </c>
      <c r="E13" s="9" t="s">
        <v>179</v>
      </c>
      <c r="F13" s="9" t="s">
        <v>75</v>
      </c>
      <c r="G13" s="9" t="s">
        <v>193</v>
      </c>
      <c r="H13" s="9"/>
      <c r="I13" s="9" t="s">
        <v>75</v>
      </c>
      <c r="J13" s="9"/>
      <c r="K13" s="9"/>
    </row>
    <row r="14" customFormat="false" ht="26.85" hidden="false" customHeight="false" outlineLevel="0" collapsed="false">
      <c r="A14" s="9" t="n">
        <v>6</v>
      </c>
      <c r="B14" s="26" t="n">
        <f aca="false">$C$4-30/1440</f>
        <v>0.5625</v>
      </c>
      <c r="C14" s="9"/>
      <c r="D14" s="27" t="s">
        <v>194</v>
      </c>
      <c r="E14" s="9" t="s">
        <v>179</v>
      </c>
      <c r="F14" s="9" t="s">
        <v>195</v>
      </c>
      <c r="G14" s="9" t="s">
        <v>196</v>
      </c>
      <c r="H14" s="9"/>
      <c r="I14" s="9" t="s">
        <v>75</v>
      </c>
      <c r="J14" s="9"/>
      <c r="K14" s="9"/>
    </row>
    <row r="15" customFormat="false" ht="26.85" hidden="false" customHeight="false" outlineLevel="0" collapsed="false">
      <c r="A15" s="9" t="n">
        <v>7</v>
      </c>
      <c r="B15" s="26" t="n">
        <f aca="false">$C$4-20/1440</f>
        <v>0.569444444444445</v>
      </c>
      <c r="C15" s="9"/>
      <c r="D15" s="27" t="s">
        <v>197</v>
      </c>
      <c r="E15" s="9" t="s">
        <v>179</v>
      </c>
      <c r="F15" s="9" t="s">
        <v>198</v>
      </c>
      <c r="G15" s="9" t="s">
        <v>199</v>
      </c>
      <c r="H15" s="9"/>
      <c r="I15" s="28" t="s">
        <v>200</v>
      </c>
      <c r="J15" s="9"/>
      <c r="K15" s="9"/>
    </row>
    <row r="16" customFormat="false" ht="26.85" hidden="false" customHeight="false" outlineLevel="0" collapsed="false">
      <c r="A16" s="9" t="n">
        <v>8</v>
      </c>
      <c r="B16" s="26" t="n">
        <f aca="false">$C$4-10/1440</f>
        <v>0.576388888888889</v>
      </c>
      <c r="C16" s="9"/>
      <c r="D16" s="27" t="s">
        <v>201</v>
      </c>
      <c r="E16" s="9" t="s">
        <v>179</v>
      </c>
      <c r="F16" s="9" t="s">
        <v>202</v>
      </c>
      <c r="G16" s="9" t="s">
        <v>203</v>
      </c>
      <c r="H16" s="9"/>
      <c r="I16" s="9" t="s">
        <v>128</v>
      </c>
      <c r="J16" s="9"/>
      <c r="K16" s="9"/>
    </row>
    <row r="17" customFormat="false" ht="15" hidden="false" customHeight="false" outlineLevel="0" collapsed="false">
      <c r="A17" s="9" t="n">
        <v>9</v>
      </c>
      <c r="B17" s="26" t="str">
        <f aca="false">$C$4</f>
        <v>14:00</v>
      </c>
      <c r="C17" s="9"/>
      <c r="D17" s="27" t="s">
        <v>204</v>
      </c>
      <c r="E17" s="9" t="s">
        <v>179</v>
      </c>
      <c r="F17" s="9" t="s">
        <v>169</v>
      </c>
      <c r="G17" s="9" t="s">
        <v>205</v>
      </c>
      <c r="H17" s="9"/>
      <c r="I17" s="9" t="s">
        <v>206</v>
      </c>
      <c r="J17" s="9"/>
      <c r="K17" s="9"/>
    </row>
    <row r="18" customFormat="false" ht="26.85" hidden="false" customHeight="false" outlineLevel="0" collapsed="false">
      <c r="A18" s="10" t="n">
        <v>10</v>
      </c>
      <c r="B18" s="29" t="str">
        <f aca="false">$C$4</f>
        <v>14:00</v>
      </c>
      <c r="C18" s="29" t="n">
        <f aca="false">B18+D18/1440</f>
        <v>0.590277777777778</v>
      </c>
      <c r="D18" s="30" t="n">
        <v>10</v>
      </c>
      <c r="E18" s="10" t="s">
        <v>207</v>
      </c>
      <c r="F18" s="10" t="s">
        <v>172</v>
      </c>
      <c r="G18" s="10" t="s">
        <v>208</v>
      </c>
      <c r="H18" s="10"/>
      <c r="I18" s="10"/>
      <c r="J18" s="10" t="s">
        <v>209</v>
      </c>
      <c r="K18" s="10"/>
    </row>
    <row r="19" customFormat="false" ht="26.85" hidden="false" customHeight="false" outlineLevel="0" collapsed="false">
      <c r="A19" s="5" t="n">
        <v>11</v>
      </c>
      <c r="B19" s="5"/>
      <c r="C19" s="5"/>
      <c r="D19" s="5"/>
      <c r="E19" s="5"/>
      <c r="F19" s="31" t="s">
        <v>210</v>
      </c>
      <c r="G19" s="5" t="s">
        <v>211</v>
      </c>
      <c r="H19" s="5"/>
      <c r="I19" s="5" t="s">
        <v>67</v>
      </c>
      <c r="J19" s="5"/>
      <c r="K19" s="5"/>
    </row>
    <row r="20" customFormat="false" ht="26.85" hidden="false" customHeight="false" outlineLevel="0" collapsed="false">
      <c r="A20" s="5" t="n">
        <v>12</v>
      </c>
      <c r="B20" s="5"/>
      <c r="C20" s="5"/>
      <c r="D20" s="5"/>
      <c r="E20" s="5"/>
      <c r="F20" s="31" t="s">
        <v>212</v>
      </c>
      <c r="G20" s="5" t="s">
        <v>213</v>
      </c>
      <c r="H20" s="5"/>
      <c r="I20" s="5" t="s">
        <v>67</v>
      </c>
      <c r="J20" s="5"/>
      <c r="K20" s="5"/>
    </row>
    <row r="21" customFormat="false" ht="15" hidden="false" customHeight="false" outlineLevel="0" collapsed="false">
      <c r="A21" s="5" t="n">
        <v>13</v>
      </c>
      <c r="B21" s="5"/>
      <c r="C21" s="5"/>
      <c r="D21" s="5"/>
      <c r="E21" s="5"/>
      <c r="F21" s="31" t="s">
        <v>212</v>
      </c>
      <c r="G21" s="5" t="s">
        <v>214</v>
      </c>
      <c r="H21" s="5"/>
      <c r="I21" s="5" t="s">
        <v>67</v>
      </c>
      <c r="J21" s="5"/>
      <c r="K21" s="5"/>
    </row>
    <row r="22" customFormat="false" ht="15" hidden="false" customHeight="false" outlineLevel="0" collapsed="false">
      <c r="A22" s="5" t="n">
        <v>14</v>
      </c>
      <c r="B22" s="5"/>
      <c r="C22" s="5"/>
      <c r="D22" s="5"/>
      <c r="E22" s="5"/>
      <c r="F22" s="31" t="s">
        <v>123</v>
      </c>
      <c r="G22" s="5" t="s">
        <v>215</v>
      </c>
      <c r="H22" s="5" t="s">
        <v>216</v>
      </c>
      <c r="I22" s="5" t="s">
        <v>67</v>
      </c>
      <c r="J22" s="5" t="s">
        <v>217</v>
      </c>
      <c r="K22" s="5"/>
    </row>
    <row r="23" customFormat="false" ht="15" hidden="false" customHeight="false" outlineLevel="0" collapsed="false">
      <c r="A23" s="5" t="n">
        <v>15</v>
      </c>
      <c r="B23" s="5"/>
      <c r="C23" s="5"/>
      <c r="D23" s="5"/>
      <c r="E23" s="5"/>
      <c r="F23" s="31" t="s">
        <v>123</v>
      </c>
      <c r="G23" s="5" t="s">
        <v>218</v>
      </c>
      <c r="H23" s="5" t="s">
        <v>219</v>
      </c>
      <c r="I23" s="5" t="s">
        <v>128</v>
      </c>
      <c r="J23" s="5" t="s">
        <v>217</v>
      </c>
      <c r="K23" s="5"/>
    </row>
    <row r="24" customFormat="false" ht="15" hidden="false" customHeight="false" outlineLevel="0" collapsed="false">
      <c r="A24" s="5" t="n">
        <v>16</v>
      </c>
      <c r="B24" s="5"/>
      <c r="C24" s="5"/>
      <c r="D24" s="5"/>
      <c r="E24" s="5"/>
      <c r="F24" s="31" t="s">
        <v>210</v>
      </c>
      <c r="G24" s="5" t="s">
        <v>220</v>
      </c>
      <c r="H24" s="5"/>
      <c r="I24" s="5" t="s">
        <v>67</v>
      </c>
      <c r="J24" s="5"/>
      <c r="K24" s="5"/>
    </row>
    <row r="25" customFormat="false" ht="26.85" hidden="false" customHeight="false" outlineLevel="0" collapsed="false">
      <c r="A25" s="5" t="n">
        <v>17</v>
      </c>
      <c r="B25" s="5"/>
      <c r="C25" s="5"/>
      <c r="D25" s="5"/>
      <c r="E25" s="5"/>
      <c r="F25" s="31" t="s">
        <v>210</v>
      </c>
      <c r="G25" s="5" t="s">
        <v>221</v>
      </c>
      <c r="H25" s="5"/>
      <c r="I25" s="5" t="s">
        <v>67</v>
      </c>
      <c r="J25" s="5"/>
      <c r="K25" s="5"/>
    </row>
    <row r="26" customFormat="false" ht="26.85" hidden="false" customHeight="false" outlineLevel="0" collapsed="false">
      <c r="A26" s="5" t="n">
        <v>18</v>
      </c>
      <c r="B26" s="5"/>
      <c r="C26" s="5"/>
      <c r="D26" s="5"/>
      <c r="E26" s="5"/>
      <c r="F26" s="31" t="s">
        <v>210</v>
      </c>
      <c r="G26" s="5" t="s">
        <v>222</v>
      </c>
      <c r="H26" s="5"/>
      <c r="I26" s="5" t="s">
        <v>67</v>
      </c>
      <c r="J26" s="5"/>
      <c r="K26" s="5"/>
    </row>
    <row r="27" customFormat="false" ht="15" hidden="false" customHeight="false" outlineLevel="0" collapsed="false">
      <c r="A27" s="5" t="n">
        <v>19</v>
      </c>
      <c r="B27" s="5"/>
      <c r="C27" s="5"/>
      <c r="D27" s="5"/>
      <c r="E27" s="5"/>
      <c r="F27" s="31" t="s">
        <v>212</v>
      </c>
      <c r="G27" s="5" t="s">
        <v>223</v>
      </c>
      <c r="H27" s="5"/>
      <c r="I27" s="5" t="s">
        <v>67</v>
      </c>
      <c r="J27" s="5"/>
      <c r="K27" s="5"/>
    </row>
    <row r="28" customFormat="false" ht="52.2" hidden="false" customHeight="false" outlineLevel="0" collapsed="false">
      <c r="A28" s="5" t="n">
        <v>20</v>
      </c>
      <c r="B28" s="5"/>
      <c r="C28" s="5"/>
      <c r="D28" s="5"/>
      <c r="E28" s="5"/>
      <c r="F28" s="31" t="s">
        <v>210</v>
      </c>
      <c r="G28" s="5" t="s">
        <v>224</v>
      </c>
      <c r="H28" s="5"/>
      <c r="I28" s="5" t="s">
        <v>67</v>
      </c>
      <c r="J28" s="5"/>
      <c r="K28" s="5"/>
    </row>
    <row r="29" customFormat="false" ht="26.85" hidden="false" customHeight="false" outlineLevel="0" collapsed="false">
      <c r="A29" s="10" t="n">
        <v>21</v>
      </c>
      <c r="B29" s="29" t="n">
        <f aca="false">B18+D18/1440</f>
        <v>0.590277777777778</v>
      </c>
      <c r="C29" s="29" t="n">
        <f aca="false">B29+D29/1440</f>
        <v>0.604166666666667</v>
      </c>
      <c r="D29" s="30" t="n">
        <v>20</v>
      </c>
      <c r="E29" s="10" t="s">
        <v>420</v>
      </c>
      <c r="F29" s="10" t="s">
        <v>172</v>
      </c>
      <c r="G29" s="10" t="s">
        <v>421</v>
      </c>
      <c r="H29" s="10"/>
      <c r="I29" s="10"/>
      <c r="J29" s="10" t="s">
        <v>209</v>
      </c>
      <c r="K29" s="10"/>
    </row>
    <row r="30" customFormat="false" ht="15" hidden="false" customHeight="false" outlineLevel="0" collapsed="false">
      <c r="A30" s="5" t="n">
        <v>22</v>
      </c>
      <c r="B30" s="5"/>
      <c r="C30" s="5"/>
      <c r="D30" s="5"/>
      <c r="E30" s="5"/>
      <c r="F30" s="31" t="s">
        <v>227</v>
      </c>
      <c r="G30" s="5" t="s">
        <v>422</v>
      </c>
      <c r="H30" s="5"/>
      <c r="I30" s="5" t="s">
        <v>67</v>
      </c>
      <c r="J30" s="5"/>
      <c r="K30" s="5"/>
    </row>
    <row r="31" customFormat="false" ht="15" hidden="false" customHeight="false" outlineLevel="0" collapsed="false">
      <c r="A31" s="5" t="n">
        <v>23</v>
      </c>
      <c r="B31" s="5"/>
      <c r="C31" s="5"/>
      <c r="D31" s="5"/>
      <c r="E31" s="5"/>
      <c r="F31" s="31" t="s">
        <v>227</v>
      </c>
      <c r="G31" s="5" t="s">
        <v>423</v>
      </c>
      <c r="H31" s="5"/>
      <c r="I31" s="5" t="s">
        <v>67</v>
      </c>
      <c r="J31" s="5"/>
      <c r="K31" s="5"/>
    </row>
    <row r="32" customFormat="false" ht="15" hidden="false" customHeight="false" outlineLevel="0" collapsed="false">
      <c r="A32" s="12" t="n">
        <v>24</v>
      </c>
      <c r="B32" s="12"/>
      <c r="C32" s="12"/>
      <c r="D32" s="12"/>
      <c r="E32" s="12"/>
      <c r="F32" s="32" t="s">
        <v>229</v>
      </c>
      <c r="G32" s="12" t="s">
        <v>424</v>
      </c>
      <c r="H32" s="12"/>
      <c r="I32" s="12" t="s">
        <v>71</v>
      </c>
      <c r="J32" s="12" t="s">
        <v>231</v>
      </c>
      <c r="K32" s="12"/>
    </row>
    <row r="33" customFormat="false" ht="26.85" hidden="false" customHeight="false" outlineLevel="0" collapsed="false">
      <c r="A33" s="10" t="n">
        <v>25</v>
      </c>
      <c r="B33" s="29" t="n">
        <f aca="false">B29+D29/1440</f>
        <v>0.604166666666667</v>
      </c>
      <c r="C33" s="29" t="n">
        <f aca="false">B33+D33/1440</f>
        <v>0.614583333333333</v>
      </c>
      <c r="D33" s="30" t="n">
        <v>15</v>
      </c>
      <c r="E33" s="10" t="s">
        <v>425</v>
      </c>
      <c r="F33" s="10" t="s">
        <v>172</v>
      </c>
      <c r="G33" s="10" t="s">
        <v>426</v>
      </c>
      <c r="H33" s="10"/>
      <c r="I33" s="10"/>
      <c r="J33" s="10" t="s">
        <v>209</v>
      </c>
      <c r="K33" s="10"/>
    </row>
    <row r="34" customFormat="false" ht="15" hidden="false" customHeight="false" outlineLevel="0" collapsed="false">
      <c r="A34" s="5" t="n">
        <v>26</v>
      </c>
      <c r="B34" s="5"/>
      <c r="C34" s="5"/>
      <c r="D34" s="5"/>
      <c r="E34" s="5"/>
      <c r="F34" s="31" t="s">
        <v>227</v>
      </c>
      <c r="G34" s="5" t="s">
        <v>427</v>
      </c>
      <c r="H34" s="5"/>
      <c r="I34" s="5" t="s">
        <v>67</v>
      </c>
      <c r="J34" s="5"/>
      <c r="K34" s="5"/>
    </row>
    <row r="35" customFormat="false" ht="15" hidden="false" customHeight="false" outlineLevel="0" collapsed="false">
      <c r="A35" s="12" t="n">
        <v>27</v>
      </c>
      <c r="B35" s="12"/>
      <c r="C35" s="12"/>
      <c r="D35" s="12"/>
      <c r="E35" s="12"/>
      <c r="F35" s="32" t="s">
        <v>229</v>
      </c>
      <c r="G35" s="12" t="s">
        <v>428</v>
      </c>
      <c r="H35" s="12"/>
      <c r="I35" s="12" t="s">
        <v>71</v>
      </c>
      <c r="J35" s="12" t="s">
        <v>231</v>
      </c>
      <c r="K35" s="12"/>
    </row>
    <row r="36" customFormat="false" ht="15" hidden="false" customHeight="false" outlineLevel="0" collapsed="false">
      <c r="A36" s="5" t="n">
        <v>28</v>
      </c>
      <c r="B36" s="5"/>
      <c r="C36" s="5"/>
      <c r="D36" s="5"/>
      <c r="E36" s="5"/>
      <c r="F36" s="31" t="s">
        <v>227</v>
      </c>
      <c r="G36" s="5" t="s">
        <v>429</v>
      </c>
      <c r="H36" s="5"/>
      <c r="I36" s="5" t="s">
        <v>67</v>
      </c>
      <c r="J36" s="5"/>
      <c r="K36" s="5"/>
    </row>
    <row r="37" customFormat="false" ht="15" hidden="false" customHeight="false" outlineLevel="0" collapsed="false">
      <c r="A37" s="5" t="n">
        <v>29</v>
      </c>
      <c r="B37" s="5"/>
      <c r="C37" s="5"/>
      <c r="D37" s="5"/>
      <c r="E37" s="5"/>
      <c r="F37" s="31" t="s">
        <v>227</v>
      </c>
      <c r="G37" s="5" t="s">
        <v>430</v>
      </c>
      <c r="H37" s="5"/>
      <c r="I37" s="5" t="s">
        <v>67</v>
      </c>
      <c r="J37" s="5"/>
      <c r="K37" s="5"/>
    </row>
    <row r="38" customFormat="false" ht="26.85" hidden="false" customHeight="false" outlineLevel="0" collapsed="false">
      <c r="A38" s="10" t="n">
        <v>30</v>
      </c>
      <c r="B38" s="29" t="n">
        <f aca="false">B33+D33/1440</f>
        <v>0.614583333333333</v>
      </c>
      <c r="C38" s="29" t="n">
        <f aca="false">B38+D38/1440</f>
        <v>0.621527777777778</v>
      </c>
      <c r="D38" s="30" t="n">
        <v>10</v>
      </c>
      <c r="E38" s="10" t="s">
        <v>276</v>
      </c>
      <c r="F38" s="10" t="s">
        <v>172</v>
      </c>
      <c r="G38" s="10" t="s">
        <v>277</v>
      </c>
      <c r="H38" s="10"/>
      <c r="I38" s="10"/>
      <c r="J38" s="10" t="s">
        <v>209</v>
      </c>
      <c r="K38" s="10"/>
    </row>
    <row r="39" customFormat="false" ht="26.85" hidden="false" customHeight="false" outlineLevel="0" collapsed="false">
      <c r="A39" s="5" t="n">
        <v>31</v>
      </c>
      <c r="B39" s="5"/>
      <c r="C39" s="5"/>
      <c r="D39" s="5"/>
      <c r="E39" s="5"/>
      <c r="F39" s="31" t="s">
        <v>227</v>
      </c>
      <c r="G39" s="5" t="s">
        <v>431</v>
      </c>
      <c r="H39" s="5"/>
      <c r="I39" s="5" t="s">
        <v>67</v>
      </c>
      <c r="J39" s="5"/>
      <c r="K39" s="5"/>
    </row>
    <row r="40" customFormat="false" ht="15" hidden="false" customHeight="false" outlineLevel="0" collapsed="false">
      <c r="A40" s="12" t="n">
        <v>32</v>
      </c>
      <c r="B40" s="12"/>
      <c r="C40" s="12"/>
      <c r="D40" s="12"/>
      <c r="E40" s="12"/>
      <c r="F40" s="32" t="s">
        <v>229</v>
      </c>
      <c r="G40" s="12" t="s">
        <v>432</v>
      </c>
      <c r="H40" s="12"/>
      <c r="I40" s="12" t="s">
        <v>71</v>
      </c>
      <c r="J40" s="12" t="s">
        <v>231</v>
      </c>
      <c r="K40" s="12"/>
    </row>
    <row r="41" customFormat="false" ht="47.75" hidden="false" customHeight="false" outlineLevel="0" collapsed="false">
      <c r="A41" s="11" t="n">
        <v>33</v>
      </c>
      <c r="B41" s="11"/>
      <c r="C41" s="11"/>
      <c r="D41" s="11"/>
      <c r="E41" s="11"/>
      <c r="F41" s="33" t="s">
        <v>239</v>
      </c>
      <c r="G41" s="11" t="s">
        <v>282</v>
      </c>
      <c r="H41" s="11" t="s">
        <v>283</v>
      </c>
      <c r="I41" s="11" t="s">
        <v>75</v>
      </c>
      <c r="J41" s="11" t="s">
        <v>242</v>
      </c>
      <c r="K41" s="11"/>
    </row>
    <row r="42" customFormat="false" ht="26.85" hidden="false" customHeight="false" outlineLevel="0" collapsed="false">
      <c r="A42" s="5" t="n">
        <v>34</v>
      </c>
      <c r="B42" s="5"/>
      <c r="C42" s="5"/>
      <c r="D42" s="5"/>
      <c r="E42" s="5"/>
      <c r="F42" s="31" t="s">
        <v>227</v>
      </c>
      <c r="G42" s="5" t="s">
        <v>433</v>
      </c>
      <c r="H42" s="5"/>
      <c r="I42" s="5" t="s">
        <v>67</v>
      </c>
      <c r="J42" s="5"/>
      <c r="K42" s="5"/>
    </row>
    <row r="43" customFormat="false" ht="15" hidden="false" customHeight="false" outlineLevel="0" collapsed="false">
      <c r="A43" s="5" t="n">
        <v>35</v>
      </c>
      <c r="B43" s="5"/>
      <c r="C43" s="5"/>
      <c r="D43" s="5"/>
      <c r="E43" s="5"/>
      <c r="F43" s="31" t="s">
        <v>227</v>
      </c>
      <c r="G43" s="5" t="s">
        <v>434</v>
      </c>
      <c r="H43" s="5"/>
      <c r="I43" s="5" t="s">
        <v>67</v>
      </c>
      <c r="J43" s="5"/>
      <c r="K43" s="5"/>
    </row>
    <row r="44" customFormat="false" ht="15" hidden="false" customHeight="false" outlineLevel="0" collapsed="false">
      <c r="A44" s="5" t="n">
        <v>36</v>
      </c>
      <c r="B44" s="5"/>
      <c r="C44" s="5"/>
      <c r="D44" s="5"/>
      <c r="E44" s="5"/>
      <c r="F44" s="31" t="s">
        <v>227</v>
      </c>
      <c r="G44" s="5" t="s">
        <v>435</v>
      </c>
      <c r="H44" s="5"/>
      <c r="I44" s="5" t="s">
        <v>67</v>
      </c>
      <c r="J44" s="5"/>
      <c r="K44" s="5"/>
    </row>
    <row r="45" customFormat="false" ht="15" hidden="false" customHeight="false" outlineLevel="0" collapsed="false">
      <c r="A45" s="5" t="n">
        <v>37</v>
      </c>
      <c r="B45" s="5"/>
      <c r="C45" s="5"/>
      <c r="D45" s="5"/>
      <c r="E45" s="5"/>
      <c r="F45" s="31" t="s">
        <v>227</v>
      </c>
      <c r="G45" s="5" t="s">
        <v>436</v>
      </c>
      <c r="H45" s="5"/>
      <c r="I45" s="5" t="s">
        <v>67</v>
      </c>
      <c r="J45" s="5"/>
      <c r="K45" s="5"/>
    </row>
    <row r="46" customFormat="false" ht="26.85" hidden="false" customHeight="false" outlineLevel="0" collapsed="false">
      <c r="A46" s="10" t="n">
        <v>38</v>
      </c>
      <c r="B46" s="29" t="n">
        <f aca="false">B38+D38/1440</f>
        <v>0.621527777777778</v>
      </c>
      <c r="C46" s="29" t="n">
        <f aca="false">B46+D46/1440</f>
        <v>0.635416666666667</v>
      </c>
      <c r="D46" s="30" t="n">
        <v>20</v>
      </c>
      <c r="E46" s="10" t="s">
        <v>437</v>
      </c>
      <c r="F46" s="10" t="s">
        <v>172</v>
      </c>
      <c r="G46" s="10" t="s">
        <v>438</v>
      </c>
      <c r="H46" s="10"/>
      <c r="I46" s="10"/>
      <c r="J46" s="10" t="s">
        <v>209</v>
      </c>
      <c r="K46" s="10"/>
    </row>
    <row r="47" customFormat="false" ht="15" hidden="false" customHeight="false" outlineLevel="0" collapsed="false">
      <c r="A47" s="5" t="n">
        <v>39</v>
      </c>
      <c r="B47" s="5"/>
      <c r="C47" s="5"/>
      <c r="D47" s="5"/>
      <c r="E47" s="5"/>
      <c r="F47" s="31" t="s">
        <v>227</v>
      </c>
      <c r="G47" s="5" t="s">
        <v>439</v>
      </c>
      <c r="H47" s="5"/>
      <c r="I47" s="5" t="s">
        <v>67</v>
      </c>
      <c r="J47" s="5"/>
      <c r="K47" s="5"/>
    </row>
    <row r="48" customFormat="false" ht="15" hidden="false" customHeight="false" outlineLevel="0" collapsed="false">
      <c r="A48" s="5" t="n">
        <v>40</v>
      </c>
      <c r="B48" s="5"/>
      <c r="C48" s="5"/>
      <c r="D48" s="5"/>
      <c r="E48" s="5"/>
      <c r="F48" s="31" t="s">
        <v>227</v>
      </c>
      <c r="G48" s="5" t="s">
        <v>440</v>
      </c>
      <c r="H48" s="5"/>
      <c r="I48" s="5" t="s">
        <v>67</v>
      </c>
      <c r="J48" s="5"/>
      <c r="K48" s="5"/>
    </row>
    <row r="49" customFormat="false" ht="26.85" hidden="false" customHeight="false" outlineLevel="0" collapsed="false">
      <c r="A49" s="5" t="n">
        <v>41</v>
      </c>
      <c r="B49" s="5"/>
      <c r="C49" s="5"/>
      <c r="D49" s="5"/>
      <c r="E49" s="5"/>
      <c r="F49" s="31" t="s">
        <v>227</v>
      </c>
      <c r="G49" s="5" t="s">
        <v>441</v>
      </c>
      <c r="H49" s="5"/>
      <c r="I49" s="5" t="s">
        <v>67</v>
      </c>
      <c r="J49" s="5"/>
      <c r="K49" s="5"/>
    </row>
    <row r="50" customFormat="false" ht="15" hidden="false" customHeight="false" outlineLevel="0" collapsed="false">
      <c r="A50" s="12" t="n">
        <v>42</v>
      </c>
      <c r="B50" s="12"/>
      <c r="C50" s="12"/>
      <c r="D50" s="12"/>
      <c r="E50" s="12"/>
      <c r="F50" s="32" t="s">
        <v>229</v>
      </c>
      <c r="G50" s="12" t="s">
        <v>442</v>
      </c>
      <c r="H50" s="12"/>
      <c r="I50" s="12" t="s">
        <v>71</v>
      </c>
      <c r="J50" s="12" t="s">
        <v>231</v>
      </c>
      <c r="K50" s="12"/>
    </row>
    <row r="51" customFormat="false" ht="26.85" hidden="false" customHeight="false" outlineLevel="0" collapsed="false">
      <c r="A51" s="10" t="n">
        <v>43</v>
      </c>
      <c r="B51" s="29" t="n">
        <f aca="false">B46+D46/1440</f>
        <v>0.635416666666667</v>
      </c>
      <c r="C51" s="29" t="n">
        <f aca="false">B51+D51/1440</f>
        <v>0.645833333333333</v>
      </c>
      <c r="D51" s="30" t="n">
        <v>15</v>
      </c>
      <c r="E51" s="10" t="s">
        <v>443</v>
      </c>
      <c r="F51" s="10" t="s">
        <v>172</v>
      </c>
      <c r="G51" s="10" t="s">
        <v>444</v>
      </c>
      <c r="H51" s="10"/>
      <c r="I51" s="10"/>
      <c r="J51" s="10" t="s">
        <v>209</v>
      </c>
      <c r="K51" s="10"/>
    </row>
    <row r="52" customFormat="false" ht="15" hidden="false" customHeight="false" outlineLevel="0" collapsed="false">
      <c r="A52" s="5" t="n">
        <v>44</v>
      </c>
      <c r="B52" s="5"/>
      <c r="C52" s="5"/>
      <c r="D52" s="5"/>
      <c r="E52" s="5"/>
      <c r="F52" s="31" t="s">
        <v>227</v>
      </c>
      <c r="G52" s="5" t="s">
        <v>445</v>
      </c>
      <c r="H52" s="5"/>
      <c r="I52" s="5" t="s">
        <v>67</v>
      </c>
      <c r="J52" s="5"/>
      <c r="K52" s="5"/>
    </row>
    <row r="53" customFormat="false" ht="15" hidden="false" customHeight="false" outlineLevel="0" collapsed="false">
      <c r="A53" s="5" t="n">
        <v>45</v>
      </c>
      <c r="B53" s="5"/>
      <c r="C53" s="5"/>
      <c r="D53" s="5"/>
      <c r="E53" s="5"/>
      <c r="F53" s="31" t="s">
        <v>227</v>
      </c>
      <c r="G53" s="5" t="s">
        <v>446</v>
      </c>
      <c r="H53" s="5"/>
      <c r="I53" s="5" t="s">
        <v>67</v>
      </c>
      <c r="J53" s="5"/>
      <c r="K53" s="5"/>
    </row>
    <row r="54" customFormat="false" ht="26.85" hidden="false" customHeight="false" outlineLevel="0" collapsed="false">
      <c r="A54" s="10" t="n">
        <v>46</v>
      </c>
      <c r="B54" s="29" t="n">
        <f aca="false">B51+D51/1440</f>
        <v>0.645833333333333</v>
      </c>
      <c r="C54" s="29" t="n">
        <f aca="false">B54+D54/1440</f>
        <v>0.659722222222222</v>
      </c>
      <c r="D54" s="30" t="n">
        <v>20</v>
      </c>
      <c r="E54" s="10" t="s">
        <v>447</v>
      </c>
      <c r="F54" s="10" t="s">
        <v>172</v>
      </c>
      <c r="G54" s="10" t="s">
        <v>448</v>
      </c>
      <c r="H54" s="10"/>
      <c r="I54" s="10"/>
      <c r="J54" s="10" t="s">
        <v>209</v>
      </c>
      <c r="K54" s="10"/>
    </row>
    <row r="55" customFormat="false" ht="15" hidden="false" customHeight="false" outlineLevel="0" collapsed="false">
      <c r="A55" s="5" t="n">
        <v>47</v>
      </c>
      <c r="B55" s="5"/>
      <c r="C55" s="5"/>
      <c r="D55" s="5"/>
      <c r="E55" s="5"/>
      <c r="F55" s="31" t="s">
        <v>227</v>
      </c>
      <c r="G55" s="5" t="s">
        <v>449</v>
      </c>
      <c r="H55" s="5"/>
      <c r="I55" s="5" t="s">
        <v>67</v>
      </c>
      <c r="J55" s="5"/>
      <c r="K55" s="5"/>
    </row>
    <row r="56" customFormat="false" ht="15" hidden="false" customHeight="false" outlineLevel="0" collapsed="false">
      <c r="A56" s="13" t="n">
        <v>48</v>
      </c>
      <c r="B56" s="13"/>
      <c r="C56" s="13"/>
      <c r="D56" s="13"/>
      <c r="E56" s="13"/>
      <c r="F56" s="39" t="s">
        <v>327</v>
      </c>
      <c r="G56" s="13" t="s">
        <v>450</v>
      </c>
      <c r="H56" s="40" t="s">
        <v>451</v>
      </c>
      <c r="I56" s="13" t="s">
        <v>128</v>
      </c>
      <c r="J56" s="13" t="s">
        <v>330</v>
      </c>
      <c r="K56" s="13"/>
    </row>
    <row r="57" customFormat="false" ht="15" hidden="false" customHeight="false" outlineLevel="0" collapsed="false">
      <c r="A57" s="5" t="n">
        <v>49</v>
      </c>
      <c r="B57" s="5"/>
      <c r="C57" s="5"/>
      <c r="D57" s="5"/>
      <c r="E57" s="5"/>
      <c r="F57" s="31" t="s">
        <v>227</v>
      </c>
      <c r="G57" s="5" t="s">
        <v>452</v>
      </c>
      <c r="H57" s="5"/>
      <c r="I57" s="5" t="s">
        <v>67</v>
      </c>
      <c r="J57" s="5"/>
      <c r="K57" s="5"/>
    </row>
    <row r="58" customFormat="false" ht="15" hidden="false" customHeight="false" outlineLevel="0" collapsed="false">
      <c r="A58" s="12" t="n">
        <v>50</v>
      </c>
      <c r="B58" s="12"/>
      <c r="C58" s="12"/>
      <c r="D58" s="12"/>
      <c r="E58" s="12"/>
      <c r="F58" s="32" t="s">
        <v>229</v>
      </c>
      <c r="G58" s="12" t="s">
        <v>453</v>
      </c>
      <c r="H58" s="12"/>
      <c r="I58" s="12" t="s">
        <v>71</v>
      </c>
      <c r="J58" s="12" t="s">
        <v>231</v>
      </c>
      <c r="K58" s="12"/>
    </row>
    <row r="59" customFormat="false" ht="26.85" hidden="false" customHeight="false" outlineLevel="0" collapsed="false">
      <c r="A59" s="10" t="n">
        <v>51</v>
      </c>
      <c r="B59" s="29" t="n">
        <f aca="false">B54+D54/1440</f>
        <v>0.659722222222222</v>
      </c>
      <c r="C59" s="29" t="n">
        <f aca="false">B59+D59/1440</f>
        <v>0.666666666666667</v>
      </c>
      <c r="D59" s="30" t="n">
        <v>10</v>
      </c>
      <c r="E59" s="10" t="s">
        <v>299</v>
      </c>
      <c r="F59" s="10" t="s">
        <v>172</v>
      </c>
      <c r="G59" s="10" t="s">
        <v>300</v>
      </c>
      <c r="H59" s="10"/>
      <c r="I59" s="10"/>
      <c r="J59" s="10" t="s">
        <v>209</v>
      </c>
      <c r="K59" s="10"/>
    </row>
    <row r="60" customFormat="false" ht="15" hidden="false" customHeight="false" outlineLevel="0" collapsed="false">
      <c r="A60" s="5" t="n">
        <v>52</v>
      </c>
      <c r="B60" s="5"/>
      <c r="C60" s="5"/>
      <c r="D60" s="5"/>
      <c r="E60" s="5"/>
      <c r="F60" s="31" t="s">
        <v>227</v>
      </c>
      <c r="G60" s="5" t="s">
        <v>301</v>
      </c>
      <c r="H60" s="5"/>
      <c r="I60" s="5" t="s">
        <v>67</v>
      </c>
      <c r="J60" s="5"/>
      <c r="K60" s="5"/>
    </row>
    <row r="61" customFormat="false" ht="26.85" hidden="false" customHeight="false" outlineLevel="0" collapsed="false">
      <c r="A61" s="5" t="n">
        <v>53</v>
      </c>
      <c r="B61" s="5"/>
      <c r="C61" s="5"/>
      <c r="D61" s="5"/>
      <c r="E61" s="5"/>
      <c r="F61" s="31" t="s">
        <v>210</v>
      </c>
      <c r="G61" s="6" t="s">
        <v>302</v>
      </c>
      <c r="H61" s="5" t="s">
        <v>303</v>
      </c>
      <c r="I61" s="5" t="s">
        <v>67</v>
      </c>
      <c r="J61" s="5"/>
      <c r="K61" s="5"/>
    </row>
    <row r="62" customFormat="false" ht="15" hidden="false" customHeight="false" outlineLevel="0" collapsed="false">
      <c r="A62" s="5" t="n">
        <v>54</v>
      </c>
      <c r="B62" s="5"/>
      <c r="C62" s="5"/>
      <c r="D62" s="5"/>
      <c r="E62" s="5"/>
      <c r="F62" s="31" t="s">
        <v>210</v>
      </c>
      <c r="G62" s="5" t="s">
        <v>304</v>
      </c>
      <c r="H62" s="5" t="s">
        <v>305</v>
      </c>
      <c r="I62" s="5" t="s">
        <v>67</v>
      </c>
      <c r="J62" s="5"/>
      <c r="K62" s="5"/>
    </row>
    <row r="63" customFormat="false" ht="26.85" hidden="false" customHeight="false" outlineLevel="0" collapsed="false">
      <c r="A63" s="14" t="n">
        <v>55</v>
      </c>
      <c r="B63" s="35" t="n">
        <f aca="false">C59</f>
        <v>0.666666666666667</v>
      </c>
      <c r="C63" s="14"/>
      <c r="D63" s="36" t="s">
        <v>170</v>
      </c>
      <c r="E63" s="14" t="s">
        <v>306</v>
      </c>
      <c r="F63" s="14" t="s">
        <v>170</v>
      </c>
      <c r="G63" s="14" t="s">
        <v>307</v>
      </c>
      <c r="H63" s="14"/>
      <c r="I63" s="14" t="s">
        <v>206</v>
      </c>
      <c r="J63" s="14"/>
      <c r="K63" s="14"/>
    </row>
    <row r="64" customFormat="false" ht="26.85" hidden="false" customHeight="false" outlineLevel="0" collapsed="false">
      <c r="A64" s="14" t="n">
        <v>56</v>
      </c>
      <c r="B64" s="35" t="n">
        <f aca="false">C59+5/1440</f>
        <v>0.670138888888889</v>
      </c>
      <c r="C64" s="14"/>
      <c r="D64" s="36" t="s">
        <v>308</v>
      </c>
      <c r="E64" s="14" t="s">
        <v>306</v>
      </c>
      <c r="F64" s="14" t="s">
        <v>309</v>
      </c>
      <c r="G64" s="37" t="s">
        <v>310</v>
      </c>
      <c r="H64" s="14"/>
      <c r="I64" s="37" t="s">
        <v>311</v>
      </c>
      <c r="J64" s="14"/>
      <c r="K64" s="14"/>
    </row>
    <row r="65" customFormat="false" ht="26.85" hidden="false" customHeight="false" outlineLevel="0" collapsed="false">
      <c r="A65" s="14" t="n">
        <v>57</v>
      </c>
      <c r="B65" s="35" t="n">
        <f aca="false">C59+30/1440</f>
        <v>0.6875</v>
      </c>
      <c r="C65" s="14"/>
      <c r="D65" s="36" t="s">
        <v>312</v>
      </c>
      <c r="E65" s="14" t="s">
        <v>306</v>
      </c>
      <c r="F65" s="14" t="s">
        <v>313</v>
      </c>
      <c r="G65" s="14" t="s">
        <v>314</v>
      </c>
      <c r="H65" s="14"/>
      <c r="I65" s="14" t="s">
        <v>315</v>
      </c>
      <c r="J65" s="14"/>
      <c r="K65" s="14"/>
    </row>
    <row r="67" customFormat="false" ht="15" hidden="false" customHeight="false" outlineLevel="0" collapsed="false">
      <c r="E67" s="23" t="s">
        <v>316</v>
      </c>
      <c r="F67" s="23" t="n">
        <f aca="false">SUMIF(F9:F65,"파트",D9:D65)</f>
        <v>120</v>
      </c>
      <c r="G67" s="23" t="str">
        <f aca="false">IF(F67=120,"OK — 120분","확인 필요: 파트 합이 120분이 아님")</f>
        <v>OK — 120분</v>
      </c>
    </row>
    <row r="68" customFormat="false" ht="15" hidden="false" customHeight="false" outlineLevel="0" collapsed="false">
      <c r="E68" s="23" t="s">
        <v>317</v>
      </c>
      <c r="F68" s="38" t="n">
        <f aca="false">C59</f>
        <v>0.666666666666667</v>
      </c>
    </row>
    <row r="70" customFormat="false" ht="15" hidden="false" customHeight="false" outlineLevel="0" collapsed="false">
      <c r="A70" s="2" t="s">
        <v>318</v>
      </c>
    </row>
    <row r="71" customFormat="false" ht="15" hidden="false" customHeight="false" outlineLevel="0" collapsed="false">
      <c r="A71" s="2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36"/>
    <col collapsed="false" customWidth="true" hidden="false" outlineLevel="0" max="6" min="6" style="0" width="40"/>
  </cols>
  <sheetData>
    <row r="1" customFormat="false" ht="19.4" hidden="false" customHeight="false" outlineLevel="0" collapsed="false">
      <c r="A1" s="17" t="s">
        <v>454</v>
      </c>
    </row>
    <row r="2" customFormat="false" ht="15" hidden="false" customHeight="false" outlineLevel="0" collapsed="false">
      <c r="A2" s="2" t="s">
        <v>455</v>
      </c>
    </row>
    <row r="4" customFormat="false" ht="14.9" hidden="false" customHeight="false" outlineLevel="0" collapsed="false">
      <c r="A4" s="41" t="s">
        <v>456</v>
      </c>
      <c r="B4" s="41"/>
      <c r="C4" s="41"/>
      <c r="D4" s="41"/>
      <c r="E4" s="41"/>
      <c r="F4" s="41"/>
    </row>
    <row r="5" customFormat="false" ht="15" hidden="false" customHeight="false" outlineLevel="0" collapsed="false">
      <c r="A5" s="4" t="s">
        <v>457</v>
      </c>
      <c r="B5" s="4" t="s">
        <v>169</v>
      </c>
      <c r="C5" s="4" t="s">
        <v>170</v>
      </c>
      <c r="D5" s="4" t="s">
        <v>171</v>
      </c>
      <c r="E5" s="4" t="s">
        <v>172</v>
      </c>
      <c r="F5" s="4" t="s">
        <v>458</v>
      </c>
    </row>
    <row r="6" customFormat="false" ht="15" hidden="false" customHeight="false" outlineLevel="0" collapsed="false">
      <c r="A6" s="5" t="s">
        <v>8</v>
      </c>
      <c r="B6" s="42" t="str">
        <f aca="false">G1_큐시트!B18</f>
        <v>14:00</v>
      </c>
      <c r="C6" s="42" t="n">
        <f aca="false">G1_큐시트!C18</f>
        <v>0.590277777777778</v>
      </c>
      <c r="D6" s="43" t="n">
        <f aca="false">G1_큐시트!D18</f>
        <v>10</v>
      </c>
      <c r="E6" s="5" t="s">
        <v>207</v>
      </c>
      <c r="F6" s="5" t="s">
        <v>459</v>
      </c>
    </row>
    <row r="7" customFormat="false" ht="15" hidden="false" customHeight="false" outlineLevel="0" collapsed="false">
      <c r="A7" s="5" t="s">
        <v>8</v>
      </c>
      <c r="B7" s="42" t="n">
        <f aca="false">G1_큐시트!B29</f>
        <v>0.590277777777778</v>
      </c>
      <c r="C7" s="42" t="n">
        <f aca="false">G1_큐시트!C29</f>
        <v>0.597222222222222</v>
      </c>
      <c r="D7" s="43" t="n">
        <f aca="false">G1_큐시트!D29</f>
        <v>10</v>
      </c>
      <c r="E7" s="5" t="s">
        <v>460</v>
      </c>
      <c r="F7" s="5"/>
    </row>
    <row r="8" customFormat="false" ht="15" hidden="false" customHeight="false" outlineLevel="0" collapsed="false">
      <c r="A8" s="5" t="s">
        <v>8</v>
      </c>
      <c r="B8" s="42" t="n">
        <f aca="false">G1_큐시트!B34</f>
        <v>0.597222222222222</v>
      </c>
      <c r="C8" s="42" t="n">
        <f aca="false">G1_큐시트!C34</f>
        <v>0.607638888888889</v>
      </c>
      <c r="D8" s="43" t="n">
        <f aca="false">G1_큐시트!D34</f>
        <v>15</v>
      </c>
      <c r="E8" s="5" t="s">
        <v>461</v>
      </c>
      <c r="F8" s="5" t="s">
        <v>462</v>
      </c>
    </row>
    <row r="9" customFormat="false" ht="15" hidden="false" customHeight="false" outlineLevel="0" collapsed="false">
      <c r="A9" s="5" t="s">
        <v>8</v>
      </c>
      <c r="B9" s="42" t="n">
        <f aca="false">G1_큐시트!B42</f>
        <v>0.607638888888889</v>
      </c>
      <c r="C9" s="42" t="n">
        <f aca="false">G1_큐시트!C42</f>
        <v>0.614583333333333</v>
      </c>
      <c r="D9" s="43" t="n">
        <f aca="false">G1_큐시트!D42</f>
        <v>10</v>
      </c>
      <c r="E9" s="5" t="s">
        <v>463</v>
      </c>
      <c r="F9" s="5"/>
    </row>
    <row r="10" customFormat="false" ht="15" hidden="false" customHeight="false" outlineLevel="0" collapsed="false">
      <c r="A10" s="5" t="s">
        <v>8</v>
      </c>
      <c r="B10" s="42" t="n">
        <f aca="false">G1_큐시트!B47</f>
        <v>0.614583333333333</v>
      </c>
      <c r="C10" s="42" t="n">
        <f aca="false">G1_큐시트!C47</f>
        <v>0.621527777777778</v>
      </c>
      <c r="D10" s="43" t="n">
        <f aca="false">G1_큐시트!D47</f>
        <v>10</v>
      </c>
      <c r="E10" s="5" t="s">
        <v>464</v>
      </c>
      <c r="F10" s="5"/>
    </row>
    <row r="11" customFormat="false" ht="15" hidden="false" customHeight="false" outlineLevel="0" collapsed="false">
      <c r="A11" s="5" t="s">
        <v>8</v>
      </c>
      <c r="B11" s="42" t="n">
        <f aca="false">G1_큐시트!B52</f>
        <v>0.621527777777778</v>
      </c>
      <c r="C11" s="42" t="n">
        <f aca="false">G1_큐시트!C52</f>
        <v>0.631944444444444</v>
      </c>
      <c r="D11" s="43" t="n">
        <f aca="false">G1_큐시트!D52</f>
        <v>15</v>
      </c>
      <c r="E11" s="5" t="s">
        <v>465</v>
      </c>
      <c r="F11" s="5"/>
    </row>
    <row r="12" customFormat="false" ht="15" hidden="false" customHeight="false" outlineLevel="0" collapsed="false">
      <c r="A12" s="5" t="s">
        <v>8</v>
      </c>
      <c r="B12" s="42" t="n">
        <f aca="false">G1_큐시트!B58</f>
        <v>0.631944444444444</v>
      </c>
      <c r="C12" s="42" t="n">
        <f aca="false">G1_큐시트!C58</f>
        <v>0.645833333333333</v>
      </c>
      <c r="D12" s="43" t="n">
        <f aca="false">G1_큐시트!D58</f>
        <v>20</v>
      </c>
      <c r="E12" s="5" t="s">
        <v>466</v>
      </c>
      <c r="F12" s="5"/>
    </row>
    <row r="13" customFormat="false" ht="15" hidden="false" customHeight="false" outlineLevel="0" collapsed="false">
      <c r="A13" s="5" t="s">
        <v>8</v>
      </c>
      <c r="B13" s="42" t="n">
        <f aca="false">G1_큐시트!B67</f>
        <v>0.645833333333333</v>
      </c>
      <c r="C13" s="42" t="n">
        <f aca="false">G1_큐시트!C67</f>
        <v>0.652777777777778</v>
      </c>
      <c r="D13" s="43" t="n">
        <f aca="false">G1_큐시트!D67</f>
        <v>10</v>
      </c>
      <c r="E13" s="5" t="s">
        <v>467</v>
      </c>
      <c r="F13" s="5" t="s">
        <v>468</v>
      </c>
    </row>
    <row r="14" customFormat="false" ht="15" hidden="false" customHeight="false" outlineLevel="0" collapsed="false">
      <c r="A14" s="5" t="s">
        <v>8</v>
      </c>
      <c r="B14" s="42" t="n">
        <f aca="false">G1_큐시트!B77</f>
        <v>0.652777777777778</v>
      </c>
      <c r="C14" s="42" t="n">
        <f aca="false">G1_큐시트!C77</f>
        <v>0.659722222222222</v>
      </c>
      <c r="D14" s="43" t="n">
        <f aca="false">G1_큐시트!D77</f>
        <v>10</v>
      </c>
      <c r="E14" s="5" t="s">
        <v>469</v>
      </c>
      <c r="F14" s="5"/>
    </row>
    <row r="15" customFormat="false" ht="15" hidden="false" customHeight="false" outlineLevel="0" collapsed="false">
      <c r="A15" s="5" t="s">
        <v>8</v>
      </c>
      <c r="B15" s="42" t="n">
        <f aca="false">G1_큐시트!B87</f>
        <v>0.659722222222222</v>
      </c>
      <c r="C15" s="42" t="n">
        <f aca="false">G1_큐시트!C87</f>
        <v>0.666666666666667</v>
      </c>
      <c r="D15" s="43" t="n">
        <f aca="false">G1_큐시트!D87</f>
        <v>10</v>
      </c>
      <c r="E15" s="5" t="s">
        <v>299</v>
      </c>
      <c r="F15" s="5"/>
    </row>
    <row r="17" customFormat="false" ht="14.9" hidden="false" customHeight="false" outlineLevel="0" collapsed="false">
      <c r="A17" s="41" t="s">
        <v>470</v>
      </c>
      <c r="B17" s="41"/>
      <c r="C17" s="41"/>
      <c r="D17" s="41"/>
      <c r="E17" s="41"/>
      <c r="F17" s="41"/>
    </row>
    <row r="18" customFormat="false" ht="15" hidden="false" customHeight="false" outlineLevel="0" collapsed="false">
      <c r="A18" s="4" t="s">
        <v>457</v>
      </c>
      <c r="B18" s="4" t="s">
        <v>169</v>
      </c>
      <c r="C18" s="4" t="s">
        <v>170</v>
      </c>
      <c r="D18" s="4" t="s">
        <v>171</v>
      </c>
      <c r="E18" s="4" t="s">
        <v>172</v>
      </c>
      <c r="F18" s="4" t="s">
        <v>458</v>
      </c>
    </row>
    <row r="19" customFormat="false" ht="15" hidden="false" customHeight="false" outlineLevel="0" collapsed="false">
      <c r="A19" s="5" t="s">
        <v>13</v>
      </c>
      <c r="B19" s="42" t="str">
        <f aca="false">G2_큐시트!B18</f>
        <v>14:00</v>
      </c>
      <c r="C19" s="42" t="n">
        <f aca="false">G2_큐시트!C18</f>
        <v>0.590277777777778</v>
      </c>
      <c r="D19" s="43" t="n">
        <f aca="false">G2_큐시트!D18</f>
        <v>10</v>
      </c>
      <c r="E19" s="5" t="s">
        <v>207</v>
      </c>
      <c r="F19" s="5" t="s">
        <v>471</v>
      </c>
    </row>
    <row r="20" customFormat="false" ht="15" hidden="false" customHeight="false" outlineLevel="0" collapsed="false">
      <c r="A20" s="5" t="s">
        <v>13</v>
      </c>
      <c r="B20" s="42" t="n">
        <f aca="false">G2_큐시트!B31</f>
        <v>0.590277777777778</v>
      </c>
      <c r="C20" s="42" t="n">
        <f aca="false">G2_큐시트!C31</f>
        <v>0.604166666666667</v>
      </c>
      <c r="D20" s="43" t="n">
        <f aca="false">G2_큐시트!D31</f>
        <v>20</v>
      </c>
      <c r="E20" s="5" t="s">
        <v>331</v>
      </c>
      <c r="F20" s="5"/>
    </row>
    <row r="21" customFormat="false" ht="15" hidden="false" customHeight="false" outlineLevel="0" collapsed="false">
      <c r="A21" s="5" t="s">
        <v>13</v>
      </c>
      <c r="B21" s="42" t="n">
        <f aca="false">G2_큐시트!B38</f>
        <v>0.604166666666667</v>
      </c>
      <c r="C21" s="42" t="n">
        <f aca="false">G2_큐시트!C38</f>
        <v>0.618055555555556</v>
      </c>
      <c r="D21" s="43" t="n">
        <f aca="false">G2_큐시트!D38</f>
        <v>20</v>
      </c>
      <c r="E21" s="5" t="s">
        <v>339</v>
      </c>
      <c r="F21" s="5" t="s">
        <v>468</v>
      </c>
    </row>
    <row r="22" customFormat="false" ht="15" hidden="false" customHeight="false" outlineLevel="0" collapsed="false">
      <c r="A22" s="5" t="s">
        <v>13</v>
      </c>
      <c r="B22" s="42" t="n">
        <f aca="false">G2_큐시트!B49</f>
        <v>0.618055555555556</v>
      </c>
      <c r="C22" s="42" t="n">
        <f aca="false">G2_큐시트!C49</f>
        <v>0.631944444444444</v>
      </c>
      <c r="D22" s="43" t="n">
        <f aca="false">G2_큐시트!D49</f>
        <v>20</v>
      </c>
      <c r="E22" s="5" t="s">
        <v>472</v>
      </c>
      <c r="F22" s="5"/>
    </row>
    <row r="23" customFormat="false" ht="15" hidden="false" customHeight="false" outlineLevel="0" collapsed="false">
      <c r="A23" s="5" t="s">
        <v>13</v>
      </c>
      <c r="B23" s="42" t="n">
        <f aca="false">G2_큐시트!B55</f>
        <v>0.631944444444444</v>
      </c>
      <c r="C23" s="42" t="n">
        <f aca="false">G2_큐시트!C55</f>
        <v>0.642361111111111</v>
      </c>
      <c r="D23" s="43" t="n">
        <f aca="false">G2_큐시트!D55</f>
        <v>15</v>
      </c>
      <c r="E23" s="5" t="s">
        <v>356</v>
      </c>
      <c r="F23" s="5"/>
    </row>
    <row r="24" customFormat="false" ht="15" hidden="false" customHeight="false" outlineLevel="0" collapsed="false">
      <c r="A24" s="5" t="s">
        <v>13</v>
      </c>
      <c r="B24" s="42" t="n">
        <f aca="false">G2_큐시트!B59</f>
        <v>0.642361111111111</v>
      </c>
      <c r="C24" s="42" t="n">
        <f aca="false">G2_큐시트!C59</f>
        <v>0.652777777777778</v>
      </c>
      <c r="D24" s="43" t="n">
        <f aca="false">G2_큐시트!D59</f>
        <v>15</v>
      </c>
      <c r="E24" s="5" t="s">
        <v>473</v>
      </c>
      <c r="F24" s="5"/>
    </row>
    <row r="25" customFormat="false" ht="15" hidden="false" customHeight="false" outlineLevel="0" collapsed="false">
      <c r="A25" s="5" t="s">
        <v>13</v>
      </c>
      <c r="B25" s="42" t="n">
        <f aca="false">G2_큐시트!B66</f>
        <v>0.652777777777778</v>
      </c>
      <c r="C25" s="42" t="n">
        <f aca="false">G2_큐시트!C66</f>
        <v>0.659722222222222</v>
      </c>
      <c r="D25" s="43" t="n">
        <f aca="false">G2_큐시트!D66</f>
        <v>10</v>
      </c>
      <c r="E25" s="5" t="s">
        <v>369</v>
      </c>
      <c r="F25" s="5"/>
    </row>
    <row r="26" customFormat="false" ht="15" hidden="false" customHeight="false" outlineLevel="0" collapsed="false">
      <c r="A26" s="5" t="s">
        <v>13</v>
      </c>
      <c r="B26" s="42" t="n">
        <f aca="false">G2_큐시트!B68</f>
        <v>0.659722222222222</v>
      </c>
      <c r="C26" s="42" t="n">
        <f aca="false">G2_큐시트!C68</f>
        <v>0.666666666666667</v>
      </c>
      <c r="D26" s="43" t="n">
        <f aca="false">G2_큐시트!D68</f>
        <v>10</v>
      </c>
      <c r="E26" s="5" t="s">
        <v>299</v>
      </c>
      <c r="F26" s="5"/>
    </row>
    <row r="28" customFormat="false" ht="14.9" hidden="false" customHeight="false" outlineLevel="0" collapsed="false">
      <c r="A28" s="41" t="s">
        <v>474</v>
      </c>
      <c r="B28" s="41"/>
      <c r="C28" s="41"/>
      <c r="D28" s="41"/>
      <c r="E28" s="41"/>
      <c r="F28" s="41"/>
    </row>
    <row r="29" customFormat="false" ht="15" hidden="false" customHeight="false" outlineLevel="0" collapsed="false">
      <c r="A29" s="4" t="s">
        <v>457</v>
      </c>
      <c r="B29" s="4" t="s">
        <v>169</v>
      </c>
      <c r="C29" s="4" t="s">
        <v>170</v>
      </c>
      <c r="D29" s="4" t="s">
        <v>171</v>
      </c>
      <c r="E29" s="4" t="s">
        <v>172</v>
      </c>
      <c r="F29" s="4" t="s">
        <v>458</v>
      </c>
    </row>
    <row r="30" customFormat="false" ht="15" hidden="false" customHeight="false" outlineLevel="0" collapsed="false">
      <c r="A30" s="5" t="s">
        <v>18</v>
      </c>
      <c r="B30" s="42" t="str">
        <f aca="false">G3_큐시트!B18</f>
        <v>14:00</v>
      </c>
      <c r="C30" s="42" t="n">
        <f aca="false">G3_큐시트!C18</f>
        <v>0.590277777777778</v>
      </c>
      <c r="D30" s="43" t="n">
        <f aca="false">G3_큐시트!D18</f>
        <v>10</v>
      </c>
      <c r="E30" s="5" t="s">
        <v>207</v>
      </c>
      <c r="F30" s="5" t="s">
        <v>471</v>
      </c>
    </row>
    <row r="31" customFormat="false" ht="15" hidden="false" customHeight="false" outlineLevel="0" collapsed="false">
      <c r="A31" s="5" t="s">
        <v>18</v>
      </c>
      <c r="B31" s="42" t="n">
        <f aca="false">G3_큐시트!B31</f>
        <v>0.590277777777778</v>
      </c>
      <c r="C31" s="42" t="n">
        <f aca="false">G3_큐시트!C31</f>
        <v>0.607638888888889</v>
      </c>
      <c r="D31" s="43" t="n">
        <f aca="false">G3_큐시트!D31</f>
        <v>25</v>
      </c>
      <c r="E31" s="5" t="s">
        <v>378</v>
      </c>
      <c r="F31" s="5"/>
    </row>
    <row r="32" customFormat="false" ht="15" hidden="false" customHeight="false" outlineLevel="0" collapsed="false">
      <c r="A32" s="5" t="s">
        <v>18</v>
      </c>
      <c r="B32" s="42" t="n">
        <f aca="false">G3_큐시트!B37</f>
        <v>0.607638888888889</v>
      </c>
      <c r="C32" s="42" t="n">
        <f aca="false">G3_큐시트!C37</f>
        <v>0.618055555555556</v>
      </c>
      <c r="D32" s="43" t="n">
        <f aca="false">G3_큐시트!D37</f>
        <v>15</v>
      </c>
      <c r="E32" s="5" t="s">
        <v>385</v>
      </c>
      <c r="F32" s="5"/>
    </row>
    <row r="33" customFormat="false" ht="15" hidden="false" customHeight="false" outlineLevel="0" collapsed="false">
      <c r="A33" s="5" t="s">
        <v>18</v>
      </c>
      <c r="B33" s="42" t="n">
        <f aca="false">G3_큐시트!B42</f>
        <v>0.618055555555556</v>
      </c>
      <c r="C33" s="42" t="n">
        <f aca="false">G3_큐시트!C42</f>
        <v>0.628472222222222</v>
      </c>
      <c r="D33" s="43" t="n">
        <f aca="false">G3_큐시트!D42</f>
        <v>15</v>
      </c>
      <c r="E33" s="5" t="s">
        <v>391</v>
      </c>
      <c r="F33" s="5"/>
    </row>
    <row r="34" customFormat="false" ht="15" hidden="false" customHeight="false" outlineLevel="0" collapsed="false">
      <c r="A34" s="5" t="s">
        <v>18</v>
      </c>
      <c r="B34" s="42" t="n">
        <f aca="false">G3_큐시트!B45</f>
        <v>0.628472222222222</v>
      </c>
      <c r="C34" s="42" t="n">
        <f aca="false">G3_큐시트!C45</f>
        <v>0.638888888888889</v>
      </c>
      <c r="D34" s="43" t="n">
        <f aca="false">G3_큐시트!D45</f>
        <v>15</v>
      </c>
      <c r="E34" s="5" t="s">
        <v>395</v>
      </c>
      <c r="F34" s="5"/>
    </row>
    <row r="35" customFormat="false" ht="15" hidden="false" customHeight="false" outlineLevel="0" collapsed="false">
      <c r="A35" s="5" t="s">
        <v>18</v>
      </c>
      <c r="B35" s="42" t="n">
        <f aca="false">G3_큐시트!B50</f>
        <v>0.638888888888889</v>
      </c>
      <c r="C35" s="42" t="n">
        <f aca="false">G3_큐시트!C50</f>
        <v>0.645833333333333</v>
      </c>
      <c r="D35" s="43" t="n">
        <f aca="false">G3_큐시트!D50</f>
        <v>10</v>
      </c>
      <c r="E35" s="5" t="s">
        <v>467</v>
      </c>
      <c r="F35" s="5" t="s">
        <v>468</v>
      </c>
    </row>
    <row r="36" customFormat="false" ht="15" hidden="false" customHeight="false" outlineLevel="0" collapsed="false">
      <c r="A36" s="5" t="s">
        <v>18</v>
      </c>
      <c r="B36" s="42" t="n">
        <f aca="false">G3_큐시트!B57</f>
        <v>0.645833333333333</v>
      </c>
      <c r="C36" s="42" t="n">
        <f aca="false">G3_큐시트!C57</f>
        <v>0.659722222222222</v>
      </c>
      <c r="D36" s="43" t="n">
        <f aca="false">G3_큐시트!D57</f>
        <v>20</v>
      </c>
      <c r="E36" s="5" t="s">
        <v>475</v>
      </c>
      <c r="F36" s="5"/>
    </row>
    <row r="37" customFormat="false" ht="15" hidden="false" customHeight="false" outlineLevel="0" collapsed="false">
      <c r="A37" s="5" t="s">
        <v>18</v>
      </c>
      <c r="B37" s="42" t="n">
        <f aca="false">G3_큐시트!B66</f>
        <v>0.659722222222222</v>
      </c>
      <c r="C37" s="42" t="n">
        <f aca="false">G3_큐시트!C66</f>
        <v>0.666666666666667</v>
      </c>
      <c r="D37" s="43" t="n">
        <f aca="false">G3_큐시트!D66</f>
        <v>10</v>
      </c>
      <c r="E37" s="5" t="s">
        <v>299</v>
      </c>
      <c r="F37" s="5"/>
    </row>
    <row r="39" customFormat="false" ht="14.9" hidden="false" customHeight="false" outlineLevel="0" collapsed="false">
      <c r="A39" s="41" t="s">
        <v>476</v>
      </c>
      <c r="B39" s="41"/>
      <c r="C39" s="41"/>
      <c r="D39" s="41"/>
      <c r="E39" s="41"/>
      <c r="F39" s="41"/>
    </row>
    <row r="40" customFormat="false" ht="15" hidden="false" customHeight="false" outlineLevel="0" collapsed="false">
      <c r="A40" s="4" t="s">
        <v>457</v>
      </c>
      <c r="B40" s="4" t="s">
        <v>169</v>
      </c>
      <c r="C40" s="4" t="s">
        <v>170</v>
      </c>
      <c r="D40" s="4" t="s">
        <v>171</v>
      </c>
      <c r="E40" s="4" t="s">
        <v>172</v>
      </c>
      <c r="F40" s="4" t="s">
        <v>458</v>
      </c>
    </row>
    <row r="41" customFormat="false" ht="15" hidden="false" customHeight="false" outlineLevel="0" collapsed="false">
      <c r="A41" s="5" t="s">
        <v>23</v>
      </c>
      <c r="B41" s="42" t="str">
        <f aca="false">G4_큐시트!B18</f>
        <v>14:00</v>
      </c>
      <c r="C41" s="42" t="n">
        <f aca="false">G4_큐시트!C18</f>
        <v>0.590277777777778</v>
      </c>
      <c r="D41" s="43" t="n">
        <f aca="false">G4_큐시트!D18</f>
        <v>10</v>
      </c>
      <c r="E41" s="5" t="s">
        <v>207</v>
      </c>
      <c r="F41" s="5" t="s">
        <v>459</v>
      </c>
    </row>
    <row r="42" customFormat="false" ht="15" hidden="false" customHeight="false" outlineLevel="0" collapsed="false">
      <c r="A42" s="5" t="s">
        <v>23</v>
      </c>
      <c r="B42" s="42" t="n">
        <f aca="false">G4_큐시트!B29</f>
        <v>0.590277777777778</v>
      </c>
      <c r="C42" s="42" t="n">
        <f aca="false">G4_큐시트!C29</f>
        <v>0.604166666666667</v>
      </c>
      <c r="D42" s="43" t="n">
        <f aca="false">G4_큐시트!D29</f>
        <v>20</v>
      </c>
      <c r="E42" s="5" t="s">
        <v>420</v>
      </c>
      <c r="F42" s="5"/>
    </row>
    <row r="43" customFormat="false" ht="15" hidden="false" customHeight="false" outlineLevel="0" collapsed="false">
      <c r="A43" s="5" t="s">
        <v>23</v>
      </c>
      <c r="B43" s="42" t="n">
        <f aca="false">G4_큐시트!B33</f>
        <v>0.604166666666667</v>
      </c>
      <c r="C43" s="42" t="n">
        <f aca="false">G4_큐시트!C33</f>
        <v>0.614583333333333</v>
      </c>
      <c r="D43" s="43" t="n">
        <f aca="false">G4_큐시트!D33</f>
        <v>15</v>
      </c>
      <c r="E43" s="5" t="s">
        <v>425</v>
      </c>
      <c r="F43" s="5"/>
    </row>
    <row r="44" customFormat="false" ht="15" hidden="false" customHeight="false" outlineLevel="0" collapsed="false">
      <c r="A44" s="5" t="s">
        <v>23</v>
      </c>
      <c r="B44" s="42" t="n">
        <f aca="false">G4_큐시트!B38</f>
        <v>0.614583333333333</v>
      </c>
      <c r="C44" s="42" t="n">
        <f aca="false">G4_큐시트!C38</f>
        <v>0.621527777777778</v>
      </c>
      <c r="D44" s="43" t="n">
        <f aca="false">G4_큐시트!D38</f>
        <v>10</v>
      </c>
      <c r="E44" s="5" t="s">
        <v>467</v>
      </c>
      <c r="F44" s="5" t="s">
        <v>468</v>
      </c>
    </row>
    <row r="45" customFormat="false" ht="15" hidden="false" customHeight="false" outlineLevel="0" collapsed="false">
      <c r="A45" s="5" t="s">
        <v>23</v>
      </c>
      <c r="B45" s="42" t="n">
        <f aca="false">G4_큐시트!B46</f>
        <v>0.621527777777778</v>
      </c>
      <c r="C45" s="42" t="n">
        <f aca="false">G4_큐시트!C46</f>
        <v>0.635416666666667</v>
      </c>
      <c r="D45" s="43" t="n">
        <f aca="false">G4_큐시트!D46</f>
        <v>20</v>
      </c>
      <c r="E45" s="5" t="s">
        <v>437</v>
      </c>
      <c r="F45" s="5"/>
    </row>
    <row r="46" customFormat="false" ht="15" hidden="false" customHeight="false" outlineLevel="0" collapsed="false">
      <c r="A46" s="5" t="s">
        <v>23</v>
      </c>
      <c r="B46" s="42" t="n">
        <f aca="false">G4_큐시트!B51</f>
        <v>0.635416666666667</v>
      </c>
      <c r="C46" s="42" t="n">
        <f aca="false">G4_큐시트!C51</f>
        <v>0.645833333333333</v>
      </c>
      <c r="D46" s="43" t="n">
        <f aca="false">G4_큐시트!D51</f>
        <v>15</v>
      </c>
      <c r="E46" s="5" t="s">
        <v>477</v>
      </c>
      <c r="F46" s="5"/>
    </row>
    <row r="47" customFormat="false" ht="15" hidden="false" customHeight="false" outlineLevel="0" collapsed="false">
      <c r="A47" s="5" t="s">
        <v>23</v>
      </c>
      <c r="B47" s="42" t="n">
        <f aca="false">G4_큐시트!B54</f>
        <v>0.645833333333333</v>
      </c>
      <c r="C47" s="42" t="n">
        <f aca="false">G4_큐시트!C54</f>
        <v>0.659722222222222</v>
      </c>
      <c r="D47" s="43" t="n">
        <f aca="false">G4_큐시트!D54</f>
        <v>20</v>
      </c>
      <c r="E47" s="5" t="s">
        <v>447</v>
      </c>
      <c r="F47" s="5" t="s">
        <v>478</v>
      </c>
    </row>
    <row r="48" customFormat="false" ht="15" hidden="false" customHeight="false" outlineLevel="0" collapsed="false">
      <c r="A48" s="5" t="s">
        <v>23</v>
      </c>
      <c r="B48" s="42" t="n">
        <f aca="false">G4_큐시트!B59</f>
        <v>0.659722222222222</v>
      </c>
      <c r="C48" s="42" t="n">
        <f aca="false">G4_큐시트!C59</f>
        <v>0.666666666666667</v>
      </c>
      <c r="D48" s="43" t="n">
        <f aca="false">G4_큐시트!D59</f>
        <v>10</v>
      </c>
      <c r="E48" s="5" t="s">
        <v>299</v>
      </c>
      <c r="F48" s="5"/>
    </row>
    <row r="50" customFormat="false" ht="15" hidden="false" customHeight="false" outlineLevel="0" collapsed="false">
      <c r="A50" s="2" t="s">
        <v>479</v>
      </c>
    </row>
  </sheetData>
  <mergeCells count="4">
    <mergeCell ref="A4:F4"/>
    <mergeCell ref="A17:F17"/>
    <mergeCell ref="A28:F28"/>
    <mergeCell ref="A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2026-09-06T23:58:42Z</dcterms:created>
  <dc:creator>openpyxl</dc:creator>
  <dc:description/>
  <dc:language>en-US</dc:language>
  <cp:lastModifiedBy/>
  <dcterms:modified xsi:type="dcterms:W3CDTF">2026-09-06T23:58:43Z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